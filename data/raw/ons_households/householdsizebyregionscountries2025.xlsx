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fileSharing readOnlyRecommended="1"/>
  <workbookPr filterPrivacy="1" codeName="ThisWorkbook" defaultThemeVersion="166925"/>
  <xr:revisionPtr revIDLastSave="301" documentId="11_6B245F2E7416DF335AD128F6D18B2F953BE5AFA0" xr6:coauthVersionLast="47" xr6:coauthVersionMax="47" xr10:uidLastSave="{75864EFF-3324-4398-AEF4-FF2BA9280766}"/>
  <bookViews>
    <workbookView xWindow="-120" yWindow="-120" windowWidth="29040" windowHeight="15720" xr2:uid="{00000000-000D-0000-FFFF-FFFF00000000}"/>
  </bookViews>
  <sheets>
    <sheet name="Cover sheet" sheetId="1" r:id="rId1"/>
    <sheet name="Notes" sheetId="20" r:id="rId2"/>
    <sheet name="Statistical robustness" sheetId="18" r:id="rId3"/>
    <sheet name="Covid-19 and LFS" sheetId="16" r:id="rId4"/>
    <sheet name="North_East" sheetId="2" r:id="rId5"/>
    <sheet name="North_West" sheetId="3" r:id="rId6"/>
    <sheet name="Yorkshire_and_The_Humber" sheetId="4" r:id="rId7"/>
    <sheet name="East_Midlands" sheetId="5" r:id="rId8"/>
    <sheet name="West_Midlands" sheetId="7" r:id="rId9"/>
    <sheet name="East" sheetId="6" r:id="rId10"/>
    <sheet name="London" sheetId="14" r:id="rId11"/>
    <sheet name="South_East" sheetId="9" r:id="rId12"/>
    <sheet name="South_West" sheetId="13" r:id="rId13"/>
    <sheet name="England" sheetId="15" r:id="rId14"/>
    <sheet name="Wales" sheetId="10" r:id="rId15"/>
    <sheet name="Scotland" sheetId="11"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0" i="1" l="1"/>
  <c r="B19" i="1"/>
  <c r="B18" i="1"/>
  <c r="B17" i="1"/>
  <c r="B16" i="1"/>
  <c r="B15" i="1"/>
  <c r="B14" i="1"/>
  <c r="B13" i="1"/>
  <c r="B12" i="1"/>
  <c r="B11" i="1"/>
  <c r="B10" i="1"/>
  <c r="B9" i="1"/>
</calcChain>
</file>

<file path=xl/sharedStrings.xml><?xml version="1.0" encoding="utf-8"?>
<sst xmlns="http://schemas.openxmlformats.org/spreadsheetml/2006/main" count="2104" uniqueCount="182">
  <si>
    <t>Households by size</t>
  </si>
  <si>
    <t>Tabs 1 to 9 cover estimates for the nine regions of England.</t>
  </si>
  <si>
    <t xml:space="preserve">Tabs 10 to 12 cover estimates for the three nations of Great Britain. </t>
  </si>
  <si>
    <t>Table of Contents</t>
  </si>
  <si>
    <t>Table Title</t>
  </si>
  <si>
    <t>Link to table</t>
  </si>
  <si>
    <t>Households by size North East, 2015 to 2025</t>
  </si>
  <si>
    <t>Households by size North West, 2015 to 2025</t>
  </si>
  <si>
    <t>Households by size Yorkshire and The Humber, 2015 to 2025</t>
  </si>
  <si>
    <t>Households by size East Midlands, 2015 to 2025</t>
  </si>
  <si>
    <t>Households by size West Midlands, 2015 to 2025</t>
  </si>
  <si>
    <t>Households by size East, 2015 to 2025</t>
  </si>
  <si>
    <t>Households by size London, 2015 to 2025</t>
  </si>
  <si>
    <t>Households by size South East, 2015 to 2025</t>
  </si>
  <si>
    <t>Households by size South West, 2015 to 2025</t>
  </si>
  <si>
    <t>Households by size England, 2015 to 2025</t>
  </si>
  <si>
    <t>Households by size Wales, 2015 to 2025</t>
  </si>
  <si>
    <t>Households by size Scotland, 2015 to 2025</t>
  </si>
  <si>
    <t>Notes</t>
  </si>
  <si>
    <t>Source: Labour Force Survey (LFS), Office for National Statistics</t>
  </si>
  <si>
    <t>Produced by Demography Team, Office for National Statistics</t>
  </si>
  <si>
    <t>pop.info@ons.gov.uk</t>
  </si>
  <si>
    <t>The LFS is a household survey of people in the UK. It covers people in private households, NHS accommodation and students in halls of residence whose parents live in the UK, but excludes communal establishments such as prisons.</t>
  </si>
  <si>
    <t xml:space="preserve">The LFS household dataset is used for this publication, rather than the person level dataset. The design of the household datasets is such that they give the best estimates of families and households, as well as people in families and households. </t>
  </si>
  <si>
    <t>The LFS household datasets are produced quarterly. Each LFS quarter is made up of 41,000 households containing around 100,000 individuals which are made up from 5 waves.</t>
  </si>
  <si>
    <t>This publication uses the April to June quarter each year.</t>
  </si>
  <si>
    <t>Further information about the LFS:</t>
  </si>
  <si>
    <t>We no longer publish Labour Force Survey (LFS) based estimates of families and households for Northern Ireland. LFS-based estimates are still available for England, Scotland and Wales.</t>
  </si>
  <si>
    <t>These should be used when making comparisons with estimates for the UK as a whole, or across GB countries. </t>
  </si>
  <si>
    <t xml:space="preserve">National Records of Scotland (NRS), the Welsh Government and Northern Ireland Statistics and Research Agency (NISRA) publish the official estimates of households for Scotland, Wales and Northern Ireland, respectively. </t>
  </si>
  <si>
    <t>These should be used when analysing household estimates at national and sub-national level. </t>
  </si>
  <si>
    <t>Household Estimates | National Records of Scotland (nrscotland.gov.uk)</t>
  </si>
  <si>
    <t>Household Estimates | GOV.WALES</t>
  </si>
  <si>
    <t>Household Projections | Northern Ireland Statistics and Research Agency (nisra.gov.uk)</t>
  </si>
  <si>
    <t xml:space="preserve">Contact </t>
  </si>
  <si>
    <t xml:space="preserve">Feedback </t>
  </si>
  <si>
    <t xml:space="preserve">It is important that the Office for National Statistics ensures that these statistics meet the needs of the people who use them. </t>
  </si>
  <si>
    <t xml:space="preserve">The Office for National Statistics would appreciate feedback on the uses and usefulness of the information provided. </t>
  </si>
  <si>
    <t>Symbols used within the tables</t>
  </si>
  <si>
    <t>[u] = Low reliability/unreliable. The estimate has been based on a sample of less than 3.</t>
  </si>
  <si>
    <t xml:space="preserve">Copyright and reproduction </t>
  </si>
  <si>
    <t>© Crown copyright 2026</t>
  </si>
  <si>
    <t xml:space="preserve">You may re-use this document/publication (not including logos) free of charge in any format or medium, under the terms of the Open Government Licence v3.0. </t>
  </si>
  <si>
    <t>View this licence on The National Archives website</t>
  </si>
  <si>
    <t>Write to the Information Policy Team, The National Archives, Kew, Richmond, Surrey, TW9 4DU.</t>
  </si>
  <si>
    <t>Email: psi@nationalarchives.gov.uk</t>
  </si>
  <si>
    <t>Where we have identified any third party copyright information you will need to obtain permission from the copyright holders concerned.</t>
  </si>
  <si>
    <t>This document/publication is also available on the ONS website:</t>
  </si>
  <si>
    <t>www.ons.gov.uk</t>
  </si>
  <si>
    <t>Any enquiries regarding this document please email:</t>
  </si>
  <si>
    <t>This worksheet contains one table.</t>
  </si>
  <si>
    <t>Note number</t>
  </si>
  <si>
    <t>Note text</t>
  </si>
  <si>
    <t>For 1996 to 2010, a household is defined as a person living alone, or a group of people living at the same address who have the address as their only or main residence and either share one main meal a day or share living accommodation (or both). For 2011 onwards, it is defined as one person living alone, or a group of people (not necessarily related) living at the same address who share cooking facilities and share a living room or sitting room or dining area.</t>
  </si>
  <si>
    <t>Statistical Robustness</t>
  </si>
  <si>
    <t>The robustness of an estimate is presented in two ways:</t>
  </si>
  <si>
    <t>The coefficient of variation (CV) indicates the robustness of each estimate.</t>
  </si>
  <si>
    <r>
      <t xml:space="preserve">It is defined as </t>
    </r>
    <r>
      <rPr>
        <b/>
        <sz val="12"/>
        <rFont val="Arial"/>
        <family val="2"/>
      </rPr>
      <t xml:space="preserve">CV = (standard error ÷ estimate) * 100 </t>
    </r>
    <r>
      <rPr>
        <sz val="12"/>
        <rFont val="Arial"/>
        <family val="2"/>
      </rPr>
      <t xml:space="preserve"> where standard error is an estimate of the margin of error associated with a sample survey.</t>
    </r>
  </si>
  <si>
    <t>The coloured shading on the table indicates the precision of each estimate as follows:</t>
  </si>
  <si>
    <t xml:space="preserve">CV Value </t>
  </si>
  <si>
    <t>CV Category</t>
  </si>
  <si>
    <t>Definition of Category</t>
  </si>
  <si>
    <t>CV ≤ 5</t>
  </si>
  <si>
    <t>a</t>
  </si>
  <si>
    <t xml:space="preserve">Estimates are considered precise </t>
  </si>
  <si>
    <t>CV &gt; 5 and ≤ 10</t>
  </si>
  <si>
    <t>b</t>
  </si>
  <si>
    <t xml:space="preserve">Estimates are considered reasonably precise </t>
  </si>
  <si>
    <t>CV &gt; 10 and ≤ 20</t>
  </si>
  <si>
    <t>c</t>
  </si>
  <si>
    <t>Estimates are considered acceptable</t>
  </si>
  <si>
    <t>CV &gt; 20</t>
  </si>
  <si>
    <t>d</t>
  </si>
  <si>
    <t>Estimates are considered unreliable for practical purposes</t>
  </si>
  <si>
    <r>
      <t xml:space="preserve">Confidence intervals are also presented. CI+/- is the upper(+) and lower(-) 95% confidence interval. It is defined as </t>
    </r>
    <r>
      <rPr>
        <b/>
        <sz val="12"/>
        <color indexed="8"/>
        <rFont val="Arial"/>
        <family val="2"/>
      </rPr>
      <t>1.96 x standard error</t>
    </r>
    <r>
      <rPr>
        <sz val="12"/>
        <color indexed="8"/>
        <rFont val="Arial"/>
        <family val="2"/>
      </rPr>
      <t xml:space="preserve">. </t>
    </r>
  </si>
  <si>
    <t xml:space="preserve">The confidence interval provides an estimated range of values in which an actual data value is likely to fall 95% of the time. </t>
  </si>
  <si>
    <t>The wider the confidence interval (relative to the estimate) the more uncertainty there is around the estimate. </t>
  </si>
  <si>
    <t xml:space="preserve">The statistics produced are estimates of occurrence, meaning confidence intervals should only result in positive values, that is there cannot be a </t>
  </si>
  <si>
    <t xml:space="preserve">negative number of households or families. However, there may be instances where a derived lower confidence bound provides a negative value. </t>
  </si>
  <si>
    <t xml:space="preserve">If you are calculating the confidence bounds based on the statistics provided in this dataset, please bear this in mind and, where this occurs, set </t>
  </si>
  <si>
    <t>the lower confidence bound to zero. For more information about measures of uncertainty, please see:</t>
  </si>
  <si>
    <t>Uncertainty and how we measure it for our surveys</t>
  </si>
  <si>
    <t>Coronavirus and Families and Households Statistics                                                                                </t>
  </si>
  <si>
    <t>The coronavirus (COVID-19) pandemic has affected the data collection and weighting methodology of the Labour Force Survey (LFS). As a result, all face-to-face interviewing for the LFS was suspended and replaced with telephone interviewing.</t>
  </si>
  <si>
    <t>This change in the method for initial contact has changed the non-response bias of the survey, affecting interviews from March 2020 onwards.</t>
  </si>
  <si>
    <t xml:space="preserve">To mitigate the impact of the change in non-response bias, in October 2020, we introduced housing tenure into the LFS weighting methodology for periods from January to March 2020 onwards. </t>
  </si>
  <si>
    <t>LFS responses are usually weighted to official population projections however LFS responses published from 15 July 2021 have been reweighted to new populations using growth rates from HM Revenue and Customs (HMRC) Real Time Information (RTI).</t>
  </si>
  <si>
    <t>This is to allow for different trends during the coronavirus pandemic. The reweighting gives improved estimates of both rates and levels.</t>
  </si>
  <si>
    <t>In June 2022, a further reweight of the LFS data was carried out using updated RTI information. This gave new weighted data for the LFS for both 2020 and 2021. Estimates and CIs for 2020 and 2021 will be different from those previously published. </t>
  </si>
  <si>
    <t>To analyse the impact of this reweighting on the LFS, we published an accompanying article which discussed the impact on key indicators such as nationality, employment and inactivity.</t>
  </si>
  <si>
    <t>Further information can be found by following the links below:</t>
  </si>
  <si>
    <t>Coronavirus and its impact on the LFS</t>
  </si>
  <si>
    <t>Measuring the labour market during the pandemic</t>
  </si>
  <si>
    <t>Understanding the impact of COVID-19 on UK population</t>
  </si>
  <si>
    <t>Key LFS indicators using both old and new weighting methodology</t>
  </si>
  <si>
    <t>The impact of reweighting on Labour Force Survey key indicators: 2022.</t>
  </si>
  <si>
    <t>North East, 2015 to 2025</t>
  </si>
  <si>
    <t>This worksheet contains one table. The table contains estimates of the number of households by the number of people living within the household, for North East England.</t>
  </si>
  <si>
    <t>Totals may not sum due to rounding.</t>
  </si>
  <si>
    <t xml:space="preserve">Some cells refer to notes which can be found in the 'Notes' worksheet. </t>
  </si>
  <si>
    <t>If you wish to provide feedback on this table please click on one of the three options below:</t>
  </si>
  <si>
    <t>This met my needs, please produce it next year</t>
  </si>
  <si>
    <t>I need something slightly different (please specify)</t>
  </si>
  <si>
    <t>This isn't what I need at all (please specify)</t>
  </si>
  <si>
    <r>
      <rPr>
        <b/>
        <sz val="12"/>
        <rFont val="Arial"/>
        <family val="2"/>
      </rPr>
      <t>Number of households</t>
    </r>
    <r>
      <rPr>
        <sz val="12"/>
        <rFont val="Arial"/>
        <family val="2"/>
      </rPr>
      <t xml:space="preserve"> (thousands) [note 1]</t>
    </r>
  </si>
  <si>
    <t>2025 Estimate</t>
  </si>
  <si>
    <t>2025 CV</t>
  </si>
  <si>
    <t>2025 CI+/-</t>
  </si>
  <si>
    <t>2024 Estimate</t>
  </si>
  <si>
    <t>2024 CV</t>
  </si>
  <si>
    <t>2024 CI+/-</t>
  </si>
  <si>
    <t>2023 Estimate</t>
  </si>
  <si>
    <t>2023 CV</t>
  </si>
  <si>
    <t>2023 CI+/-</t>
  </si>
  <si>
    <t>2022 Estimate</t>
  </si>
  <si>
    <t>2022 CV</t>
  </si>
  <si>
    <t>2022 CI+/-</t>
  </si>
  <si>
    <t>2021 Estimate</t>
  </si>
  <si>
    <t>2021 CV</t>
  </si>
  <si>
    <t>2021 CI+/-</t>
  </si>
  <si>
    <t>2020 Estimate</t>
  </si>
  <si>
    <t>2020 CV</t>
  </si>
  <si>
    <t>2020 CI+/-</t>
  </si>
  <si>
    <t>2019 Estimate</t>
  </si>
  <si>
    <t>2019 CV</t>
  </si>
  <si>
    <t>2019 CI+/-</t>
  </si>
  <si>
    <t>2018 Estimate</t>
  </si>
  <si>
    <t>2018 CV</t>
  </si>
  <si>
    <t>2018 CI+/-</t>
  </si>
  <si>
    <t>2017 Estimate</t>
  </si>
  <si>
    <t>2017 CV</t>
  </si>
  <si>
    <t>2017 CI+/-</t>
  </si>
  <si>
    <t>2016 Estimate</t>
  </si>
  <si>
    <t>2016 CV</t>
  </si>
  <si>
    <t>2016 CI+/-</t>
  </si>
  <si>
    <t>2015 Estimate</t>
  </si>
  <si>
    <t>2015 CV</t>
  </si>
  <si>
    <t>2015 CI+/-</t>
  </si>
  <si>
    <t>One person</t>
  </si>
  <si>
    <t>Two people</t>
  </si>
  <si>
    <t>Three people</t>
  </si>
  <si>
    <t>Four people</t>
  </si>
  <si>
    <t>Five people</t>
  </si>
  <si>
    <t>Six or more people</t>
  </si>
  <si>
    <t xml:space="preserve">Six people </t>
  </si>
  <si>
    <t>Seven or more people</t>
  </si>
  <si>
    <t>[u]</t>
  </si>
  <si>
    <t>All households</t>
  </si>
  <si>
    <t>Average household size (number of people)</t>
  </si>
  <si>
    <t>North West, 2015 to 2025</t>
  </si>
  <si>
    <t>This worksheet contains one table. The table contains estimates of the number of households by the number of people living within the household, for North West England.</t>
  </si>
  <si>
    <t>Yorkshire and The Humber, 2015 to 2025</t>
  </si>
  <si>
    <t>This worksheet contains one table. The table contains estimates of the number of households by the number of people living within the household, for Yorkshire and The Humber.</t>
  </si>
  <si>
    <t>East Midlands, 2015 to 2025</t>
  </si>
  <si>
    <t>This worksheet contains one table. The table contains estimates of the number of households by the number of people living within the household, for East Midlands.</t>
  </si>
  <si>
    <t>West Midlands, 2015 to 2025</t>
  </si>
  <si>
    <t>This worksheet contains one table. The table contains estimates of the number of households by the number of people living within the household, for West Midlands.</t>
  </si>
  <si>
    <t>East, 2015 to 2025</t>
  </si>
  <si>
    <t>This worksheet contains one table. The table contains estimates of the number of households by the number of people living within the household, for East England.</t>
  </si>
  <si>
    <t>London, 2015 to 2025</t>
  </si>
  <si>
    <t>This worksheet contains one table. The table contains estimates of the number of households by the number of people living within the household, for London.</t>
  </si>
  <si>
    <t>South East, 2015 to 2025</t>
  </si>
  <si>
    <t>This worksheet contains one table. The table contains estimates of the number of households by the number of people living within the household, for South East England.</t>
  </si>
  <si>
    <t>South West, 2015 to 2025</t>
  </si>
  <si>
    <t>This worksheet contains one table. The table contains estimates of the number of households by the number of people living within the household, for South West England.</t>
  </si>
  <si>
    <t>England, 2015 to 2025</t>
  </si>
  <si>
    <t>This worksheet contains one table. The table contains estimates of the number of households by the number of people living within the household, for England.</t>
  </si>
  <si>
    <t>Wales, 2015 to 2025</t>
  </si>
  <si>
    <t>This worksheet contains one table. The table contains estimates of the number of households by the number of people living within the household, for Wales.</t>
  </si>
  <si>
    <t>Scotland, 2015 to 2025</t>
  </si>
  <si>
    <t>This worksheet contains one table. The table contains estimates of the number of households by the number of people living within the household, for Scotland.</t>
  </si>
  <si>
    <t>Date published: 17 April 2026</t>
  </si>
  <si>
    <t>b</t>
  </si>
  <si>
    <t>a</t>
  </si>
  <si>
    <t>c</t>
  </si>
  <si>
    <t>d</t>
  </si>
  <si>
    <t>This spreadsheet contains 12 tables.</t>
  </si>
  <si>
    <t>All tables cover estimates of the number of households by the number of people living within the household, for 2015 to 2025</t>
  </si>
  <si>
    <t>Families and Households Quality and Methodology Guide (QMG)</t>
  </si>
  <si>
    <t xml:space="preserve">Symbols are used in this worksheet. The meaning of each symbol can be found in the 'Cover sheet' worksheet. </t>
  </si>
  <si>
    <t>CV is the coefficient of variation. This is a measure of statistical robustness. To understand the codes used, see the 'Statistical robustness' worksheet.</t>
  </si>
  <si>
    <t>CI+/- is the upper(+) and lower(-) 95% confidence interval. The confidence interval provides an estimated range of values in which an actual data value is likely to fall 95% of the time. For more information, see 'Statistical robustness' worksheet.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</si>
</sst>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2" x14ac:knownFonts="1">
    <font>
      <sz val="12"/>
      <color theme="1"/>
      <name val="Arial"/>
      <family val="2"/>
    </font>
    <font>
      <sz val="12"/>
      <color theme="1"/>
      <name val="Arial"/>
      <family val="2"/>
    </font>
    <font>
      <b/>
      <sz val="13"/>
      <color theme="1"/>
      <name val="Arial"/>
      <family val="2"/>
    </font>
    <font>
      <u/>
      <sz val="12"/>
      <color theme="10"/>
      <name val="Arial"/>
      <family val="2"/>
    </font>
    <font>
      <u/>
      <sz val="12"/>
      <color rgb="FF0000FF"/>
      <name val="Arial"/>
      <family val="2"/>
    </font>
    <font>
      <u/>
      <sz val="12"/>
      <color indexed="12"/>
      <name val="Arial"/>
      <family val="2"/>
    </font>
    <font>
      <sz val="12"/>
      <color theme="1"/>
      <name val="Arial"/>
      <family val="2"/>
    </font>
    <font>
      <b/>
      <sz val="15"/>
      <color theme="1"/>
      <name val="Arial"/>
      <family val="2"/>
    </font>
    <font>
      <b/>
      <sz val="12"/>
      <color theme="1"/>
      <name val="Arial"/>
      <family val="2"/>
    </font>
    <font>
      <sz val="13"/>
      <color theme="1"/>
      <name val="Arial"/>
      <family val="2"/>
    </font>
    <font>
      <b/>
      <sz val="11"/>
      <color theme="1"/>
      <name val="Arial"/>
      <family val="2"/>
    </font>
    <font>
      <sz val="10"/>
      <color theme="1"/>
      <name val="Arial"/>
      <family val="2"/>
    </font>
    <font>
      <sz val="12"/>
      <color theme="1"/>
      <name val="Calibri"/>
      <family val="2"/>
      <scheme val="minor"/>
    </font>
    <font>
      <sz val="10"/>
      <color rgb="FFFF0000"/>
      <name val="Arial"/>
      <family val="2"/>
    </font>
    <font>
      <sz val="12"/>
      <color rgb="FFFF0000"/>
      <name val="Calibri"/>
      <family val="2"/>
      <scheme val="minor"/>
    </font>
    <font>
      <sz val="12"/>
      <color rgb="FF000000"/>
      <name val="Arial"/>
      <family val="2"/>
    </font>
    <font>
      <b/>
      <sz val="12"/>
      <name val="Arial"/>
      <family val="2"/>
    </font>
    <font>
      <sz val="12"/>
      <name val="Arial"/>
      <family val="2"/>
    </font>
    <font>
      <b/>
      <sz val="12"/>
      <color indexed="8"/>
      <name val="Arial"/>
      <family val="2"/>
    </font>
    <font>
      <sz val="12"/>
      <color indexed="8"/>
      <name val="Arial"/>
      <family val="2"/>
    </font>
    <font>
      <b/>
      <sz val="15"/>
      <name val="Arial"/>
      <family val="2"/>
    </font>
    <font>
      <b/>
      <sz val="13"/>
      <name val="Arial"/>
      <family val="2"/>
    </font>
  </fonts>
  <fills count="10">
    <fill>
      <patternFill patternType="none"/>
    </fill>
    <fill>
      <patternFill patternType="gray125"/>
    </fill>
    <fill>
      <patternFill patternType="solid">
        <fgColor indexed="9"/>
        <bgColor indexed="64"/>
      </patternFill>
    </fill>
    <fill>
      <patternFill patternType="solid">
        <fgColor rgb="FF008855"/>
        <bgColor indexed="64"/>
      </patternFill>
    </fill>
    <fill>
      <patternFill patternType="solid">
        <fgColor rgb="FF6161FF"/>
        <bgColor indexed="64"/>
      </patternFill>
    </fill>
    <fill>
      <patternFill patternType="solid">
        <fgColor rgb="FF667788"/>
        <bgColor indexed="64"/>
      </patternFill>
    </fill>
    <fill>
      <patternFill patternType="solid">
        <fgColor theme="0"/>
        <bgColor indexed="64"/>
      </patternFill>
    </fill>
    <fill>
      <patternFill patternType="solid">
        <fgColor rgb="FF008855"/>
      </patternFill>
    </fill>
    <fill>
      <patternFill patternType="solid">
        <fgColor rgb="FF6161FF"/>
      </patternFill>
    </fill>
    <fill>
      <patternFill patternType="solid">
        <fgColor rgb="FF667788"/>
      </patternFill>
    </fill>
  </fills>
  <borders count="21">
    <border>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rgb="FF000000"/>
      </top>
      <bottom style="thin">
        <color rgb="FF000000"/>
      </bottom>
      <diagonal/>
    </border>
    <border>
      <left/>
      <right/>
      <top style="thin">
        <color indexed="64"/>
      </top>
      <bottom style="thin">
        <color indexed="64"/>
      </bottom>
      <diagonal/>
    </border>
    <border>
      <left/>
      <right style="thin">
        <color indexed="64"/>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top style="thin">
        <color rgb="FF000000"/>
      </top>
      <bottom style="thin">
        <color rgb="FF000000"/>
      </bottom>
      <diagonal/>
    </border>
    <border>
      <left style="thin">
        <color rgb="FF000000"/>
      </left>
      <right/>
      <top/>
      <bottom/>
      <diagonal/>
    </border>
    <border>
      <left style="thin">
        <color indexed="64"/>
      </left>
      <right/>
      <top/>
      <bottom style="thin">
        <color rgb="FF000000"/>
      </bottom>
      <diagonal/>
    </border>
    <border>
      <left/>
      <right/>
      <top/>
      <bottom style="thin">
        <color rgb="FF000000"/>
      </bottom>
      <diagonal/>
    </border>
    <border>
      <left/>
      <right style="thin">
        <color indexed="64"/>
      </right>
      <top/>
      <bottom style="thin">
        <color rgb="FF000000"/>
      </bottom>
      <diagonal/>
    </border>
  </borders>
  <cellStyleXfs count="6">
    <xf numFmtId="0" fontId="0" fillId="0" borderId="0"/>
    <xf numFmtId="0" fontId="4" fillId="0" borderId="0" applyNumberFormat="0" applyFill="0" applyBorder="0" applyAlignment="0" applyProtection="0"/>
    <xf numFmtId="43" fontId="1" fillId="0" borderId="0" applyFont="0" applyFill="0" applyBorder="0" applyAlignment="0" applyProtection="0"/>
    <xf numFmtId="0" fontId="20" fillId="0" borderId="0" applyNumberFormat="0" applyFill="0" applyAlignment="0" applyProtection="0"/>
    <xf numFmtId="0" fontId="21" fillId="0" borderId="0" applyNumberFormat="0" applyFill="0" applyAlignment="0" applyProtection="0"/>
    <xf numFmtId="0" fontId="16" fillId="0" borderId="0" applyNumberFormat="0" applyFill="0" applyAlignment="0" applyProtection="0"/>
  </cellStyleXfs>
  <cellXfs count="211">
    <xf numFmtId="0" fontId="0" fillId="0" borderId="0" xfId="0"/>
    <xf numFmtId="0" fontId="1" fillId="0" borderId="0" xfId="0" applyFont="1" applyAlignment="1">
      <alignment horizontal="right" vertical="center"/>
    </xf>
    <xf numFmtId="0" fontId="1" fillId="0" borderId="0" xfId="0" applyFont="1" applyAlignment="1">
      <alignment vertical="center"/>
    </xf>
    <xf numFmtId="0" fontId="1" fillId="0" borderId="0" xfId="0" applyFont="1"/>
    <xf numFmtId="0" fontId="2" fillId="0" borderId="0" xfId="0" applyFont="1" applyAlignment="1">
      <alignment wrapText="1"/>
    </xf>
    <xf numFmtId="0" fontId="2" fillId="0" borderId="0" xfId="0" applyFont="1" applyAlignment="1">
      <alignment vertical="center" wrapText="1"/>
    </xf>
    <xf numFmtId="0" fontId="1" fillId="0" borderId="0" xfId="0" applyFont="1" applyAlignment="1">
      <alignment vertical="top"/>
    </xf>
    <xf numFmtId="0" fontId="3" fillId="0" borderId="0" xfId="0" applyFont="1" applyAlignment="1">
      <alignment vertical="center"/>
    </xf>
    <xf numFmtId="0" fontId="3" fillId="0" borderId="0" xfId="0" applyFont="1" applyAlignment="1">
      <alignment horizontal="left" vertical="center"/>
    </xf>
    <xf numFmtId="0" fontId="2" fillId="0" borderId="0" xfId="0" applyFont="1" applyAlignment="1">
      <alignment horizontal="left" vertical="center"/>
    </xf>
    <xf numFmtId="0" fontId="4" fillId="0" borderId="0" xfId="0" applyFont="1"/>
    <xf numFmtId="0" fontId="3" fillId="0" borderId="0" xfId="0" applyFont="1" applyAlignment="1">
      <alignment horizontal="left"/>
    </xf>
    <xf numFmtId="0" fontId="5" fillId="0" borderId="0" xfId="0" applyFont="1" applyAlignment="1">
      <alignment horizontal="left"/>
    </xf>
    <xf numFmtId="0" fontId="3" fillId="0" borderId="0" xfId="0" applyFont="1"/>
    <xf numFmtId="0" fontId="6" fillId="0" borderId="0" xfId="0" applyFont="1" applyAlignment="1">
      <alignment horizontal="left" vertical="center"/>
    </xf>
    <xf numFmtId="0" fontId="7" fillId="0" borderId="0" xfId="0" applyFont="1"/>
    <xf numFmtId="1" fontId="1" fillId="0" borderId="0" xfId="0" applyNumberFormat="1" applyFont="1" applyAlignment="1">
      <alignment vertical="center"/>
    </xf>
    <xf numFmtId="0" fontId="1" fillId="0" borderId="0" xfId="0" applyFont="1" applyAlignment="1">
      <alignment vertical="center" wrapText="1"/>
    </xf>
    <xf numFmtId="0" fontId="1" fillId="0" borderId="0" xfId="0" applyFont="1" applyAlignment="1">
      <alignment horizontal="left" vertical="center" wrapText="1"/>
    </xf>
    <xf numFmtId="0" fontId="1" fillId="0" borderId="0" xfId="0" applyFont="1" applyAlignment="1">
      <alignment horizontal="left"/>
    </xf>
    <xf numFmtId="0" fontId="1" fillId="0" borderId="0" xfId="0" applyFont="1" applyAlignment="1">
      <alignment horizontal="left" wrapText="1"/>
    </xf>
    <xf numFmtId="0" fontId="2" fillId="0" borderId="0" xfId="0" applyFont="1" applyAlignment="1">
      <alignment vertical="center"/>
    </xf>
    <xf numFmtId="0" fontId="1" fillId="0" borderId="0" xfId="0" applyFont="1" applyAlignment="1">
      <alignment horizontal="left" vertical="top" wrapText="1"/>
    </xf>
    <xf numFmtId="0" fontId="4" fillId="0" borderId="0" xfId="0" applyFont="1" applyAlignment="1">
      <alignment vertical="top"/>
    </xf>
    <xf numFmtId="0" fontId="8" fillId="0" borderId="0" xfId="0" applyFont="1" applyAlignment="1">
      <alignment vertical="center"/>
    </xf>
    <xf numFmtId="0" fontId="9" fillId="0" borderId="0" xfId="0" applyFont="1"/>
    <xf numFmtId="0" fontId="1" fillId="0" borderId="3" xfId="0" applyFont="1" applyBorder="1" applyAlignment="1">
      <alignment horizontal="center" vertical="center"/>
    </xf>
    <xf numFmtId="0" fontId="8" fillId="0" borderId="0" xfId="0" applyFont="1" applyAlignment="1">
      <alignment horizontal="right"/>
    </xf>
    <xf numFmtId="0" fontId="8" fillId="0" borderId="0" xfId="0" applyFont="1"/>
    <xf numFmtId="0" fontId="10" fillId="0" borderId="0" xfId="0" applyFont="1"/>
    <xf numFmtId="0" fontId="1" fillId="0" borderId="5" xfId="0" applyFont="1" applyBorder="1" applyAlignment="1">
      <alignment horizontal="right" vertical="center"/>
    </xf>
    <xf numFmtId="0" fontId="1" fillId="0" borderId="6" xfId="0" applyFont="1" applyBorder="1" applyAlignment="1">
      <alignment vertical="center"/>
    </xf>
    <xf numFmtId="0" fontId="1" fillId="0" borderId="7" xfId="0" applyFont="1" applyBorder="1" applyAlignment="1">
      <alignment horizontal="center" vertical="center"/>
    </xf>
    <xf numFmtId="0" fontId="1" fillId="3" borderId="8" xfId="0" applyFont="1" applyFill="1" applyBorder="1" applyAlignment="1">
      <alignment horizontal="right"/>
    </xf>
    <xf numFmtId="0" fontId="1" fillId="3" borderId="0" xfId="0" applyFont="1" applyFill="1" applyAlignment="1">
      <alignment horizontal="center"/>
    </xf>
    <xf numFmtId="0" fontId="1" fillId="4" borderId="0" xfId="0" applyFont="1" applyFill="1" applyAlignment="1">
      <alignment horizontal="center"/>
    </xf>
    <xf numFmtId="0" fontId="1" fillId="3" borderId="9" xfId="0" applyFont="1" applyFill="1" applyBorder="1"/>
    <xf numFmtId="0" fontId="1" fillId="4" borderId="8" xfId="0" applyFont="1" applyFill="1" applyBorder="1" applyAlignment="1">
      <alignment horizontal="right"/>
    </xf>
    <xf numFmtId="0" fontId="1" fillId="4" borderId="9" xfId="0" applyFont="1" applyFill="1" applyBorder="1"/>
    <xf numFmtId="0" fontId="1" fillId="5" borderId="2" xfId="0" applyFont="1" applyFill="1" applyBorder="1" applyAlignment="1">
      <alignment horizontal="right"/>
    </xf>
    <xf numFmtId="0" fontId="1" fillId="5" borderId="10" xfId="0" applyFont="1" applyFill="1" applyBorder="1" applyAlignment="1">
      <alignment horizontal="center"/>
    </xf>
    <xf numFmtId="0" fontId="1" fillId="5" borderId="11" xfId="0" applyFont="1" applyFill="1" applyBorder="1"/>
    <xf numFmtId="0" fontId="1" fillId="6" borderId="0" xfId="0" applyFont="1" applyFill="1" applyAlignment="1">
      <alignment vertical="center" wrapText="1"/>
    </xf>
    <xf numFmtId="0" fontId="1" fillId="6" borderId="0" xfId="0" applyFont="1" applyFill="1" applyAlignment="1">
      <alignment vertical="center"/>
    </xf>
    <xf numFmtId="0" fontId="5" fillId="6" borderId="0" xfId="0" applyFont="1" applyFill="1" applyAlignment="1">
      <alignment vertical="center"/>
    </xf>
    <xf numFmtId="0" fontId="1" fillId="6" borderId="0" xfId="0" applyFont="1" applyFill="1" applyAlignment="1">
      <alignment horizontal="center" vertical="center" wrapText="1"/>
    </xf>
    <xf numFmtId="3" fontId="1" fillId="0" borderId="13" xfId="0" applyNumberFormat="1" applyFont="1" applyBorder="1" applyAlignment="1">
      <alignment horizontal="right"/>
    </xf>
    <xf numFmtId="0" fontId="1" fillId="0" borderId="13" xfId="0" applyFont="1" applyBorder="1" applyAlignment="1">
      <alignment horizontal="right"/>
    </xf>
    <xf numFmtId="3" fontId="1" fillId="0" borderId="10" xfId="0" applyNumberFormat="1" applyFont="1" applyBorder="1" applyAlignment="1">
      <alignment horizontal="right"/>
    </xf>
    <xf numFmtId="3" fontId="1" fillId="0" borderId="2" xfId="0" applyNumberFormat="1" applyFont="1" applyBorder="1" applyAlignment="1">
      <alignment horizontal="right"/>
    </xf>
    <xf numFmtId="3" fontId="1" fillId="0" borderId="0" xfId="0" applyNumberFormat="1" applyFont="1" applyAlignment="1">
      <alignment horizontal="right"/>
    </xf>
    <xf numFmtId="3" fontId="1" fillId="0" borderId="8" xfId="0" applyNumberFormat="1" applyFont="1" applyBorder="1" applyAlignment="1">
      <alignment horizontal="right"/>
    </xf>
    <xf numFmtId="3" fontId="1" fillId="0" borderId="4" xfId="0" applyNumberFormat="1" applyFont="1" applyBorder="1" applyAlignment="1">
      <alignment horizontal="right"/>
    </xf>
    <xf numFmtId="3" fontId="1" fillId="3" borderId="0" xfId="0" applyNumberFormat="1" applyFont="1" applyFill="1" applyAlignment="1">
      <alignment horizontal="right"/>
    </xf>
    <xf numFmtId="3" fontId="1" fillId="4" borderId="0" xfId="0" applyNumberFormat="1" applyFont="1" applyFill="1" applyAlignment="1">
      <alignment horizontal="right"/>
    </xf>
    <xf numFmtId="3" fontId="8" fillId="0" borderId="13" xfId="0" applyNumberFormat="1" applyFont="1" applyBorder="1" applyAlignment="1">
      <alignment horizontal="right" vertical="center"/>
    </xf>
    <xf numFmtId="3" fontId="8" fillId="0" borderId="4" xfId="0" applyNumberFormat="1" applyFont="1" applyBorder="1" applyAlignment="1">
      <alignment horizontal="right" vertical="center"/>
    </xf>
    <xf numFmtId="3" fontId="1" fillId="3" borderId="8" xfId="0" applyNumberFormat="1" applyFont="1" applyFill="1" applyBorder="1" applyAlignment="1">
      <alignment horizontal="right"/>
    </xf>
    <xf numFmtId="3" fontId="1" fillId="5" borderId="8" xfId="0" applyNumberFormat="1" applyFont="1" applyFill="1" applyBorder="1" applyAlignment="1">
      <alignment horizontal="right"/>
    </xf>
    <xf numFmtId="3" fontId="8" fillId="0" borderId="15" xfId="0" applyNumberFormat="1" applyFont="1" applyBorder="1" applyAlignment="1">
      <alignment horizontal="right" vertical="center"/>
    </xf>
    <xf numFmtId="3" fontId="1" fillId="0" borderId="9" xfId="0" applyNumberFormat="1" applyFont="1" applyBorder="1" applyAlignment="1">
      <alignment horizontal="right"/>
    </xf>
    <xf numFmtId="3" fontId="1" fillId="0" borderId="15" xfId="0" applyNumberFormat="1" applyFont="1" applyBorder="1" applyAlignment="1">
      <alignment horizontal="right"/>
    </xf>
    <xf numFmtId="3" fontId="1" fillId="4" borderId="8" xfId="0" applyNumberFormat="1" applyFont="1" applyFill="1" applyBorder="1" applyAlignment="1">
      <alignment horizontal="right"/>
    </xf>
    <xf numFmtId="1" fontId="8" fillId="0" borderId="15" xfId="0" applyNumberFormat="1" applyFont="1" applyBorder="1" applyAlignment="1">
      <alignment horizontal="right" vertical="center"/>
    </xf>
    <xf numFmtId="1" fontId="1" fillId="0" borderId="9" xfId="0" applyNumberFormat="1" applyFont="1" applyBorder="1" applyAlignment="1">
      <alignment horizontal="right"/>
    </xf>
    <xf numFmtId="0" fontId="8" fillId="0" borderId="0" xfId="0" applyFont="1" applyAlignment="1">
      <alignment horizontal="left" vertical="center"/>
    </xf>
    <xf numFmtId="0" fontId="1" fillId="0" borderId="9" xfId="0" applyFont="1" applyBorder="1" applyAlignment="1">
      <alignment horizontal="left" vertical="center" indent="1"/>
    </xf>
    <xf numFmtId="0" fontId="1" fillId="0" borderId="11" xfId="0" applyFont="1" applyBorder="1" applyAlignment="1">
      <alignment horizontal="left" vertical="center" indent="1"/>
    </xf>
    <xf numFmtId="0" fontId="11" fillId="0" borderId="0" xfId="0" applyFont="1"/>
    <xf numFmtId="0" fontId="12" fillId="0" borderId="0" xfId="0" applyFont="1"/>
    <xf numFmtId="0" fontId="8" fillId="0" borderId="13" xfId="0" applyFont="1" applyBorder="1" applyAlignment="1">
      <alignment horizontal="right" vertical="center"/>
    </xf>
    <xf numFmtId="0" fontId="1" fillId="0" borderId="11" xfId="0" applyFont="1" applyBorder="1" applyAlignment="1">
      <alignment horizontal="left" vertical="center"/>
    </xf>
    <xf numFmtId="0" fontId="1" fillId="0" borderId="9" xfId="0" applyFont="1" applyBorder="1" applyAlignment="1">
      <alignment horizontal="left" vertical="center"/>
    </xf>
    <xf numFmtId="0" fontId="1" fillId="0" borderId="6" xfId="0" applyFont="1" applyBorder="1" applyAlignment="1">
      <alignment horizontal="left" vertical="center" wrapText="1"/>
    </xf>
    <xf numFmtId="0" fontId="8" fillId="0" borderId="15" xfId="0" applyFont="1" applyBorder="1" applyAlignment="1">
      <alignment horizontal="right" vertical="center"/>
    </xf>
    <xf numFmtId="0" fontId="1" fillId="0" borderId="0" xfId="0" applyFont="1" applyAlignment="1">
      <alignment horizontal="right"/>
    </xf>
    <xf numFmtId="0" fontId="1" fillId="0" borderId="15" xfId="0" applyFont="1" applyBorder="1" applyAlignment="1">
      <alignment horizontal="left" vertical="center"/>
    </xf>
    <xf numFmtId="0" fontId="8" fillId="0" borderId="4" xfId="0" applyFont="1" applyBorder="1" applyAlignment="1">
      <alignment horizontal="right" vertical="center"/>
    </xf>
    <xf numFmtId="0" fontId="1" fillId="0" borderId="7" xfId="0" applyFont="1" applyBorder="1" applyAlignment="1">
      <alignment horizontal="right"/>
    </xf>
    <xf numFmtId="3" fontId="1" fillId="3" borderId="5" xfId="0" applyNumberFormat="1" applyFont="1" applyFill="1" applyBorder="1" applyAlignment="1">
      <alignment horizontal="right"/>
    </xf>
    <xf numFmtId="3" fontId="1" fillId="0" borderId="6" xfId="0" applyNumberFormat="1" applyFont="1" applyBorder="1" applyAlignment="1">
      <alignment horizontal="right"/>
    </xf>
    <xf numFmtId="0" fontId="13" fillId="0" borderId="0" xfId="0" applyFont="1"/>
    <xf numFmtId="0" fontId="14" fillId="0" borderId="0" xfId="0" applyFont="1"/>
    <xf numFmtId="0" fontId="1" fillId="0" borderId="9" xfId="0" applyFont="1" applyBorder="1" applyAlignment="1">
      <alignment vertical="center"/>
    </xf>
    <xf numFmtId="0" fontId="1" fillId="0" borderId="9" xfId="0" applyFont="1" applyBorder="1" applyAlignment="1">
      <alignment horizontal="left" vertical="center" wrapText="1"/>
    </xf>
    <xf numFmtId="3" fontId="1" fillId="0" borderId="10" xfId="0" applyNumberFormat="1" applyFont="1" applyBorder="1" applyAlignment="1">
      <alignment horizontal="right" vertical="center"/>
    </xf>
    <xf numFmtId="3" fontId="1" fillId="0" borderId="2" xfId="0" applyNumberFormat="1" applyFont="1" applyBorder="1" applyAlignment="1">
      <alignment horizontal="right" vertical="center"/>
    </xf>
    <xf numFmtId="3" fontId="1" fillId="0" borderId="8" xfId="0" applyNumberFormat="1" applyFont="1" applyBorder="1" applyAlignment="1">
      <alignment horizontal="right" vertical="center"/>
    </xf>
    <xf numFmtId="3" fontId="1" fillId="0" borderId="9" xfId="0" applyNumberFormat="1" applyFont="1" applyBorder="1" applyAlignment="1">
      <alignment horizontal="right" vertical="center"/>
    </xf>
    <xf numFmtId="3" fontId="1" fillId="0" borderId="5" xfId="0" applyNumberFormat="1" applyFont="1" applyBorder="1" applyAlignment="1">
      <alignment horizontal="right"/>
    </xf>
    <xf numFmtId="3" fontId="1" fillId="0" borderId="11" xfId="0" applyNumberFormat="1" applyFont="1" applyBorder="1" applyAlignment="1">
      <alignment horizontal="right"/>
    </xf>
    <xf numFmtId="0" fontId="1" fillId="0" borderId="15" xfId="0" applyFont="1" applyBorder="1" applyAlignment="1">
      <alignment horizontal="right"/>
    </xf>
    <xf numFmtId="1" fontId="1" fillId="0" borderId="0" xfId="0" applyNumberFormat="1" applyFont="1" applyAlignment="1">
      <alignment horizontal="right"/>
    </xf>
    <xf numFmtId="0" fontId="1" fillId="0" borderId="9" xfId="0" applyFont="1" applyBorder="1" applyAlignment="1">
      <alignment horizontal="right"/>
    </xf>
    <xf numFmtId="1" fontId="1" fillId="3" borderId="0" xfId="0" applyNumberFormat="1" applyFont="1" applyFill="1" applyAlignment="1">
      <alignment horizontal="right"/>
    </xf>
    <xf numFmtId="1" fontId="1" fillId="4" borderId="0" xfId="0" applyNumberFormat="1" applyFont="1" applyFill="1" applyAlignment="1">
      <alignment horizontal="right"/>
    </xf>
    <xf numFmtId="1" fontId="1" fillId="0" borderId="10" xfId="0" applyNumberFormat="1" applyFont="1" applyBorder="1" applyAlignment="1">
      <alignment horizontal="right"/>
    </xf>
    <xf numFmtId="3" fontId="1" fillId="4" borderId="2" xfId="0" applyNumberFormat="1" applyFont="1" applyFill="1" applyBorder="1" applyAlignment="1">
      <alignment horizontal="right"/>
    </xf>
    <xf numFmtId="0" fontId="1" fillId="0" borderId="6" xfId="0" applyFont="1" applyBorder="1" applyAlignment="1">
      <alignment horizontal="left" vertical="center"/>
    </xf>
    <xf numFmtId="3" fontId="15" fillId="0" borderId="10" xfId="0" applyNumberFormat="1" applyFont="1" applyBorder="1" applyAlignment="1">
      <alignment horizontal="right"/>
    </xf>
    <xf numFmtId="3" fontId="1" fillId="4" borderId="10" xfId="0" applyNumberFormat="1" applyFont="1" applyFill="1" applyBorder="1" applyAlignment="1">
      <alignment horizontal="right"/>
    </xf>
    <xf numFmtId="0" fontId="1" fillId="0" borderId="0" xfId="0" applyFont="1" applyAlignment="1">
      <alignment horizontal="left" vertical="center"/>
    </xf>
    <xf numFmtId="0" fontId="1" fillId="0" borderId="11" xfId="0" applyFont="1" applyBorder="1" applyAlignment="1">
      <alignment horizontal="left" vertical="center" wrapText="1"/>
    </xf>
    <xf numFmtId="0" fontId="1" fillId="0" borderId="0" xfId="0" applyFont="1" applyAlignment="1">
      <alignment horizontal="left" vertical="center" indent="1"/>
    </xf>
    <xf numFmtId="0" fontId="1" fillId="0" borderId="10" xfId="0" applyFont="1" applyBorder="1" applyAlignment="1">
      <alignment horizontal="left" vertical="center" indent="1"/>
    </xf>
    <xf numFmtId="4" fontId="1" fillId="0" borderId="13" xfId="0" applyNumberFormat="1" applyFont="1" applyBorder="1" applyAlignment="1">
      <alignment horizontal="right" vertical="center"/>
    </xf>
    <xf numFmtId="4" fontId="1" fillId="0" borderId="2" xfId="0" applyNumberFormat="1" applyFont="1" applyBorder="1" applyAlignment="1">
      <alignment horizontal="right" vertical="center"/>
    </xf>
    <xf numFmtId="4" fontId="1" fillId="0" borderId="10" xfId="0" applyNumberFormat="1" applyFont="1" applyBorder="1" applyAlignment="1">
      <alignment horizontal="right" vertical="center"/>
    </xf>
    <xf numFmtId="4" fontId="1" fillId="0" borderId="11" xfId="0" applyNumberFormat="1" applyFont="1" applyBorder="1" applyAlignment="1">
      <alignment horizontal="right" vertical="center"/>
    </xf>
    <xf numFmtId="4" fontId="1" fillId="0" borderId="4" xfId="0" applyNumberFormat="1" applyFont="1" applyBorder="1" applyAlignment="1">
      <alignment horizontal="right" vertical="center"/>
    </xf>
    <xf numFmtId="4" fontId="1" fillId="0" borderId="13" xfId="0" applyNumberFormat="1" applyFont="1" applyBorder="1" applyAlignment="1">
      <alignment horizontal="right"/>
    </xf>
    <xf numFmtId="4" fontId="1" fillId="0" borderId="4" xfId="0" applyNumberFormat="1" applyFont="1" applyBorder="1" applyAlignment="1">
      <alignment horizontal="right"/>
    </xf>
    <xf numFmtId="4" fontId="1" fillId="0" borderId="15" xfId="0" applyNumberFormat="1" applyFont="1" applyBorder="1" applyAlignment="1">
      <alignment horizontal="right"/>
    </xf>
    <xf numFmtId="0" fontId="4" fillId="0" borderId="0" xfId="1"/>
    <xf numFmtId="0" fontId="4" fillId="0" borderId="0" xfId="1" applyAlignment="1">
      <alignment vertical="top"/>
    </xf>
    <xf numFmtId="0" fontId="1" fillId="6" borderId="0" xfId="0" applyFont="1" applyFill="1" applyAlignment="1">
      <alignment vertical="top" wrapText="1"/>
    </xf>
    <xf numFmtId="0" fontId="1" fillId="6" borderId="0" xfId="0" applyFont="1" applyFill="1" applyAlignment="1">
      <alignment wrapText="1"/>
    </xf>
    <xf numFmtId="0" fontId="4" fillId="0" borderId="0" xfId="1" applyAlignment="1">
      <alignment wrapText="1"/>
    </xf>
    <xf numFmtId="0" fontId="0" fillId="0" borderId="0" xfId="0" applyAlignment="1">
      <alignment wrapText="1"/>
    </xf>
    <xf numFmtId="0" fontId="21" fillId="6" borderId="0" xfId="4" applyFill="1" applyAlignment="1">
      <alignment wrapText="1"/>
    </xf>
    <xf numFmtId="0" fontId="20" fillId="6" borderId="0" xfId="3" applyFill="1" applyAlignment="1">
      <alignment vertical="center" wrapText="1"/>
    </xf>
    <xf numFmtId="0" fontId="20" fillId="0" borderId="0" xfId="3" applyAlignment="1">
      <alignment vertical="center"/>
    </xf>
    <xf numFmtId="2" fontId="1" fillId="0" borderId="2" xfId="2" applyNumberFormat="1" applyFont="1" applyBorder="1" applyAlignment="1">
      <alignment vertical="center"/>
    </xf>
    <xf numFmtId="2" fontId="1" fillId="0" borderId="11" xfId="2" applyNumberFormat="1" applyFont="1" applyBorder="1" applyAlignment="1">
      <alignment horizontal="right" vertical="center"/>
    </xf>
    <xf numFmtId="3" fontId="6" fillId="7" borderId="0" xfId="2" applyNumberFormat="1" applyFont="1" applyFill="1"/>
    <xf numFmtId="3" fontId="1" fillId="0" borderId="6" xfId="2" applyNumberFormat="1" applyFont="1" applyBorder="1" applyAlignment="1">
      <alignment horizontal="right" vertical="center"/>
    </xf>
    <xf numFmtId="3" fontId="1" fillId="0" borderId="8" xfId="2" applyNumberFormat="1" applyFont="1" applyBorder="1" applyAlignment="1">
      <alignment vertical="center"/>
    </xf>
    <xf numFmtId="3" fontId="1" fillId="0" borderId="0" xfId="2" applyNumberFormat="1" applyFont="1" applyAlignment="1">
      <alignment horizontal="right" vertical="center"/>
    </xf>
    <xf numFmtId="3" fontId="1" fillId="0" borderId="9" xfId="2" applyNumberFormat="1" applyFont="1" applyBorder="1" applyAlignment="1">
      <alignment horizontal="right" vertical="center"/>
    </xf>
    <xf numFmtId="3" fontId="6" fillId="8" borderId="0" xfId="2" applyNumberFormat="1" applyFont="1" applyFill="1"/>
    <xf numFmtId="3" fontId="6" fillId="9" borderId="0" xfId="2" applyNumberFormat="1" applyFont="1" applyFill="1"/>
    <xf numFmtId="3" fontId="1" fillId="0" borderId="16" xfId="2" applyNumberFormat="1" applyFont="1" applyBorder="1" applyAlignment="1">
      <alignment vertical="center"/>
    </xf>
    <xf numFmtId="3" fontId="1" fillId="0" borderId="14" xfId="2" applyNumberFormat="1" applyFont="1" applyBorder="1" applyAlignment="1">
      <alignment horizontal="right" vertical="center"/>
    </xf>
    <xf numFmtId="0" fontId="1" fillId="0" borderId="7" xfId="2" applyNumberFormat="1" applyFont="1" applyBorder="1" applyAlignment="1">
      <alignment horizontal="right" vertical="center"/>
    </xf>
    <xf numFmtId="0" fontId="1" fillId="0" borderId="0" xfId="2" applyNumberFormat="1" applyFont="1" applyAlignment="1">
      <alignment horizontal="right" vertical="center"/>
    </xf>
    <xf numFmtId="0" fontId="1" fillId="0" borderId="12" xfId="2" applyNumberFormat="1" applyFont="1" applyBorder="1" applyAlignment="1">
      <alignment horizontal="right" vertical="center"/>
    </xf>
    <xf numFmtId="0" fontId="1" fillId="0" borderId="10" xfId="2" applyNumberFormat="1" applyFont="1" applyBorder="1" applyAlignment="1">
      <alignment horizontal="right" vertical="center"/>
    </xf>
    <xf numFmtId="2" fontId="1" fillId="0" borderId="13" xfId="0" applyNumberFormat="1" applyFont="1" applyBorder="1" applyAlignment="1">
      <alignment horizontal="right"/>
    </xf>
    <xf numFmtId="2" fontId="1" fillId="0" borderId="4" xfId="0" applyNumberFormat="1" applyFont="1" applyBorder="1" applyAlignment="1">
      <alignment horizontal="right"/>
    </xf>
    <xf numFmtId="2" fontId="1" fillId="0" borderId="15" xfId="0" applyNumberFormat="1" applyFont="1" applyBorder="1" applyAlignment="1">
      <alignment horizontal="right"/>
    </xf>
    <xf numFmtId="2" fontId="1" fillId="0" borderId="11" xfId="2" applyNumberFormat="1" applyFont="1" applyBorder="1" applyAlignment="1">
      <alignment vertical="center"/>
    </xf>
    <xf numFmtId="3" fontId="1" fillId="0" borderId="0" xfId="2" applyNumberFormat="1" applyFont="1" applyAlignment="1">
      <alignment vertical="center"/>
    </xf>
    <xf numFmtId="3" fontId="1" fillId="0" borderId="14" xfId="2" applyNumberFormat="1" applyFont="1" applyBorder="1" applyAlignment="1">
      <alignment vertical="center"/>
    </xf>
    <xf numFmtId="2" fontId="1" fillId="0" borderId="2" xfId="2" applyNumberFormat="1" applyFont="1" applyBorder="1" applyAlignment="1">
      <alignment horizontal="right" vertical="center"/>
    </xf>
    <xf numFmtId="3" fontId="1" fillId="0" borderId="8" xfId="2" applyNumberFormat="1" applyFont="1" applyBorder="1" applyAlignment="1">
      <alignment horizontal="right" vertical="center"/>
    </xf>
    <xf numFmtId="3" fontId="1" fillId="0" borderId="16" xfId="2" applyNumberFormat="1" applyFont="1" applyBorder="1" applyAlignment="1">
      <alignment horizontal="right" vertical="center"/>
    </xf>
    <xf numFmtId="3" fontId="1" fillId="0" borderId="17" xfId="2" applyNumberFormat="1" applyFont="1" applyBorder="1" applyAlignment="1">
      <alignment horizontal="right" vertical="center"/>
    </xf>
    <xf numFmtId="2" fontId="15" fillId="0" borderId="13" xfId="0" applyNumberFormat="1" applyFont="1" applyBorder="1" applyAlignment="1">
      <alignment horizontal="right"/>
    </xf>
    <xf numFmtId="0" fontId="15" fillId="0" borderId="13" xfId="0" applyFont="1" applyBorder="1" applyAlignment="1">
      <alignment horizontal="right"/>
    </xf>
    <xf numFmtId="3" fontId="1" fillId="0" borderId="5" xfId="2" applyNumberFormat="1" applyFont="1" applyBorder="1" applyAlignment="1">
      <alignment horizontal="right" vertical="center"/>
    </xf>
    <xf numFmtId="2" fontId="1" fillId="0" borderId="2" xfId="0" applyNumberFormat="1" applyFont="1" applyBorder="1" applyAlignment="1">
      <alignment horizontal="right" vertical="center"/>
    </xf>
    <xf numFmtId="2" fontId="1" fillId="0" borderId="11" xfId="0" applyNumberFormat="1" applyFont="1" applyBorder="1" applyAlignment="1">
      <alignment horizontal="right" vertical="center"/>
    </xf>
    <xf numFmtId="2" fontId="1" fillId="0" borderId="10" xfId="0" applyNumberFormat="1" applyFont="1" applyBorder="1" applyAlignment="1">
      <alignment horizontal="right" vertical="center"/>
    </xf>
    <xf numFmtId="0" fontId="1" fillId="0" borderId="10" xfId="0" applyFont="1" applyBorder="1" applyAlignment="1">
      <alignment horizontal="right" vertical="center"/>
    </xf>
    <xf numFmtId="3" fontId="1" fillId="0" borderId="7" xfId="2" applyNumberFormat="1" applyFont="1" applyBorder="1" applyAlignment="1">
      <alignment horizontal="right" vertical="center"/>
    </xf>
    <xf numFmtId="3" fontId="1" fillId="0" borderId="0" xfId="2" applyNumberFormat="1" applyFont="1" applyBorder="1" applyAlignment="1">
      <alignment horizontal="right" vertical="center"/>
    </xf>
    <xf numFmtId="3" fontId="1" fillId="0" borderId="0" xfId="2" applyNumberFormat="1" applyFont="1" applyBorder="1" applyAlignment="1">
      <alignment vertical="center"/>
    </xf>
    <xf numFmtId="0" fontId="1" fillId="0" borderId="10" xfId="0" applyFont="1" applyBorder="1" applyAlignment="1">
      <alignment horizontal="right"/>
    </xf>
    <xf numFmtId="1" fontId="1" fillId="0" borderId="11" xfId="0" applyNumberFormat="1" applyFont="1" applyBorder="1" applyAlignment="1">
      <alignment horizontal="right"/>
    </xf>
    <xf numFmtId="1" fontId="1" fillId="0" borderId="6" xfId="0" applyNumberFormat="1" applyFont="1" applyBorder="1" applyAlignment="1">
      <alignment horizontal="right"/>
    </xf>
    <xf numFmtId="3" fontId="1" fillId="5" borderId="2" xfId="0" applyNumberFormat="1" applyFont="1" applyFill="1" applyBorder="1" applyAlignment="1">
      <alignment horizontal="right"/>
    </xf>
    <xf numFmtId="3" fontId="1" fillId="0" borderId="7" xfId="0" applyNumberFormat="1" applyFont="1" applyBorder="1" applyAlignment="1">
      <alignment horizontal="right"/>
    </xf>
    <xf numFmtId="3" fontId="1" fillId="0" borderId="18" xfId="2" applyNumberFormat="1" applyFont="1" applyBorder="1" applyAlignment="1">
      <alignment horizontal="right" vertical="center"/>
    </xf>
    <xf numFmtId="0" fontId="1" fillId="0" borderId="19" xfId="2" applyNumberFormat="1" applyFont="1" applyBorder="1" applyAlignment="1">
      <alignment horizontal="right" vertical="center"/>
    </xf>
    <xf numFmtId="3" fontId="1" fillId="0" borderId="20" xfId="2" applyNumberFormat="1" applyFont="1" applyBorder="1" applyAlignment="1">
      <alignment horizontal="right" vertical="center"/>
    </xf>
    <xf numFmtId="3" fontId="6" fillId="7" borderId="5" xfId="2" applyNumberFormat="1" applyFont="1" applyFill="1" applyBorder="1"/>
    <xf numFmtId="0" fontId="1" fillId="0" borderId="0" xfId="2" applyNumberFormat="1" applyFont="1" applyBorder="1" applyAlignment="1">
      <alignment horizontal="right" vertical="center"/>
    </xf>
    <xf numFmtId="3" fontId="6" fillId="7" borderId="8" xfId="2" applyNumberFormat="1" applyFont="1" applyFill="1" applyBorder="1"/>
    <xf numFmtId="3" fontId="6" fillId="8" borderId="8" xfId="2" applyNumberFormat="1" applyFont="1" applyFill="1" applyBorder="1"/>
    <xf numFmtId="3" fontId="6" fillId="9" borderId="8" xfId="2" applyNumberFormat="1" applyFont="1" applyFill="1" applyBorder="1"/>
    <xf numFmtId="3" fontId="6" fillId="9" borderId="2" xfId="2" applyNumberFormat="1" applyFont="1" applyFill="1" applyBorder="1"/>
    <xf numFmtId="3" fontId="1" fillId="0" borderId="11" xfId="2" applyNumberFormat="1" applyFont="1" applyBorder="1" applyAlignment="1">
      <alignment horizontal="right" vertical="center"/>
    </xf>
    <xf numFmtId="0" fontId="1" fillId="0" borderId="11" xfId="0" applyFont="1" applyBorder="1" applyAlignment="1">
      <alignment horizontal="right"/>
    </xf>
    <xf numFmtId="0" fontId="1" fillId="0" borderId="6" xfId="0" applyFont="1" applyBorder="1" applyAlignment="1">
      <alignment horizontal="right"/>
    </xf>
    <xf numFmtId="1" fontId="1" fillId="5" borderId="10" xfId="0" applyNumberFormat="1" applyFont="1" applyFill="1" applyBorder="1" applyAlignment="1">
      <alignment horizontal="right"/>
    </xf>
    <xf numFmtId="0" fontId="15" fillId="0" borderId="10" xfId="0" applyFont="1" applyBorder="1" applyAlignment="1">
      <alignment horizontal="right"/>
    </xf>
    <xf numFmtId="3" fontId="15" fillId="0" borderId="5" xfId="0" applyNumberFormat="1" applyFont="1" applyBorder="1" applyAlignment="1">
      <alignment horizontal="right"/>
    </xf>
    <xf numFmtId="0" fontId="15" fillId="0" borderId="7" xfId="0" applyFont="1" applyBorder="1" applyAlignment="1">
      <alignment horizontal="right"/>
    </xf>
    <xf numFmtId="3" fontId="15" fillId="0" borderId="6" xfId="0" applyNumberFormat="1" applyFont="1" applyBorder="1" applyAlignment="1">
      <alignment horizontal="right"/>
    </xf>
    <xf numFmtId="3" fontId="15" fillId="0" borderId="8" xfId="0" applyNumberFormat="1" applyFont="1" applyBorder="1" applyAlignment="1">
      <alignment horizontal="right"/>
    </xf>
    <xf numFmtId="0" fontId="15" fillId="0" borderId="0" xfId="0" applyFont="1" applyAlignment="1">
      <alignment horizontal="right"/>
    </xf>
    <xf numFmtId="3" fontId="15" fillId="0" borderId="9" xfId="0" applyNumberFormat="1" applyFont="1" applyBorder="1" applyAlignment="1">
      <alignment horizontal="right"/>
    </xf>
    <xf numFmtId="3" fontId="15" fillId="0" borderId="11" xfId="0" applyNumberFormat="1" applyFont="1" applyBorder="1" applyAlignment="1">
      <alignment horizontal="right"/>
    </xf>
    <xf numFmtId="3" fontId="1" fillId="5" borderId="10" xfId="0" applyNumberFormat="1" applyFont="1" applyFill="1" applyBorder="1" applyAlignment="1">
      <alignment horizontal="right"/>
    </xf>
    <xf numFmtId="3" fontId="1" fillId="0" borderId="19" xfId="2" applyNumberFormat="1" applyFont="1" applyBorder="1" applyAlignment="1">
      <alignment horizontal="right" vertical="center"/>
    </xf>
    <xf numFmtId="3" fontId="1" fillId="0" borderId="11" xfId="0" applyNumberFormat="1" applyFont="1" applyBorder="1" applyAlignment="1">
      <alignment horizontal="right" vertical="center"/>
    </xf>
    <xf numFmtId="3" fontId="6" fillId="7" borderId="8" xfId="2" applyNumberFormat="1" applyFont="1" applyFill="1" applyBorder="1" applyAlignment="1">
      <alignment horizontal="right"/>
    </xf>
    <xf numFmtId="3" fontId="6" fillId="8" borderId="8" xfId="2" applyNumberFormat="1" applyFont="1" applyFill="1" applyBorder="1" applyAlignment="1">
      <alignment horizontal="right"/>
    </xf>
    <xf numFmtId="3" fontId="6" fillId="9" borderId="8" xfId="2" applyNumberFormat="1" applyFont="1" applyFill="1" applyBorder="1" applyAlignment="1">
      <alignment horizontal="right"/>
    </xf>
    <xf numFmtId="3" fontId="6" fillId="9" borderId="2" xfId="2" applyNumberFormat="1" applyFont="1" applyFill="1" applyBorder="1" applyAlignment="1">
      <alignment horizontal="right"/>
    </xf>
    <xf numFmtId="3" fontId="1" fillId="0" borderId="5" xfId="0" applyNumberFormat="1" applyFont="1" applyBorder="1" applyAlignment="1">
      <alignment horizontal="right" vertical="center"/>
    </xf>
    <xf numFmtId="0" fontId="1" fillId="0" borderId="7" xfId="0" applyFont="1" applyBorder="1" applyAlignment="1">
      <alignment horizontal="right" vertical="center"/>
    </xf>
    <xf numFmtId="3" fontId="1" fillId="0" borderId="6" xfId="0" applyNumberFormat="1" applyFont="1" applyBorder="1" applyAlignment="1">
      <alignment horizontal="right" vertical="center"/>
    </xf>
    <xf numFmtId="0" fontId="20" fillId="0" borderId="0" xfId="3" applyAlignment="1">
      <alignment horizontal="left"/>
    </xf>
    <xf numFmtId="0" fontId="20" fillId="0" borderId="0" xfId="3" applyAlignment="1">
      <alignment horizontal="left" vertical="top"/>
    </xf>
    <xf numFmtId="0" fontId="7" fillId="0" borderId="0" xfId="0" applyFont="1" applyAlignment="1">
      <alignment horizontal="left" vertical="top"/>
    </xf>
    <xf numFmtId="0" fontId="0" fillId="0" borderId="0" xfId="0" applyAlignment="1">
      <alignment horizontal="left"/>
    </xf>
    <xf numFmtId="0" fontId="21" fillId="0" borderId="0" xfId="4" applyAlignment="1">
      <alignment horizontal="left"/>
    </xf>
    <xf numFmtId="0" fontId="16" fillId="0" borderId="0" xfId="5" applyAlignment="1">
      <alignment horizontal="left" vertical="center"/>
    </xf>
    <xf numFmtId="0" fontId="2" fillId="0" borderId="0" xfId="0" applyFont="1" applyAlignment="1">
      <alignment horizontal="left" wrapText="1"/>
    </xf>
    <xf numFmtId="0" fontId="1" fillId="0" borderId="0" xfId="0" applyFont="1" applyAlignment="1">
      <alignment horizontal="left" vertical="top"/>
    </xf>
    <xf numFmtId="0" fontId="4" fillId="0" borderId="0" xfId="1" applyAlignment="1">
      <alignment horizontal="left" vertical="top"/>
    </xf>
    <xf numFmtId="0" fontId="1" fillId="2" borderId="0" xfId="0" applyFont="1" applyFill="1" applyAlignment="1">
      <alignment horizontal="left" wrapText="1"/>
    </xf>
    <xf numFmtId="0" fontId="21" fillId="0" borderId="0" xfId="4" applyAlignment="1">
      <alignment horizontal="left" wrapText="1"/>
    </xf>
    <xf numFmtId="0" fontId="4" fillId="0" borderId="0" xfId="1" applyAlignment="1">
      <alignment horizontal="left"/>
    </xf>
    <xf numFmtId="0" fontId="2" fillId="0" borderId="0" xfId="0" applyFont="1" applyAlignment="1">
      <alignment horizontal="left" vertical="center" wrapText="1"/>
    </xf>
    <xf numFmtId="3" fontId="2" fillId="0" borderId="0" xfId="0" applyNumberFormat="1" applyFont="1" applyAlignment="1">
      <alignment horizontal="left" vertical="center" wrapText="1"/>
    </xf>
    <xf numFmtId="0" fontId="2" fillId="0" borderId="1" xfId="0" applyFont="1" applyBorder="1" applyAlignment="1">
      <alignment horizontal="left"/>
    </xf>
    <xf numFmtId="0" fontId="2" fillId="0" borderId="2" xfId="0" applyFont="1" applyBorder="1" applyAlignment="1">
      <alignment horizontal="left"/>
    </xf>
    <xf numFmtId="0" fontId="1" fillId="0" borderId="4" xfId="0" applyFont="1" applyBorder="1" applyAlignment="1">
      <alignment horizontal="left" wrapText="1"/>
    </xf>
    <xf numFmtId="0" fontId="20" fillId="0" borderId="0" xfId="3" applyAlignment="1">
      <alignment horizontal="left" vertical="center"/>
    </xf>
  </cellXfs>
  <cellStyles count="6">
    <cellStyle name="Comma" xfId="2" builtinId="3"/>
    <cellStyle name="Heading 1" xfId="3" builtinId="16" customBuiltin="1"/>
    <cellStyle name="Heading 2" xfId="4" builtinId="17" customBuiltin="1"/>
    <cellStyle name="Heading 3" xfId="5" builtinId="18" customBuiltin="1"/>
    <cellStyle name="Hyperlink" xfId="1" builtinId="8" customBuiltin="1"/>
    <cellStyle name="Normal" xfId="0" builtinId="0"/>
  </cellStyles>
  <dxfs count="455">
    <dxf>
      <font>
        <color rgb="FF0000FF"/>
      </font>
    </dxf>
    <dxf>
      <font>
        <color rgb="FF326405"/>
      </font>
    </dxf>
    <dxf>
      <font>
        <color rgb="FFB30000"/>
      </font>
    </dxf>
    <dxf>
      <fill>
        <patternFill>
          <bgColor indexed="48"/>
        </patternFill>
      </fill>
    </dxf>
    <dxf>
      <fill>
        <patternFill>
          <bgColor indexed="40"/>
        </patternFill>
      </fill>
    </dxf>
    <dxf>
      <font>
        <b val="0"/>
        <i val="0"/>
        <condense val="0"/>
        <extend val="0"/>
        <color auto="1"/>
      </font>
      <fill>
        <patternFill>
          <bgColor indexed="44"/>
        </patternFill>
      </fill>
    </dxf>
    <dxf>
      <font>
        <b val="0"/>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 formatCode="0.00"/>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 formatCode="0.00"/>
      <alignment horizontal="general" vertical="center" textRotation="0" wrapText="0" indent="0" justifyLastLine="0" shrinkToFit="0" readingOrder="0"/>
    </dxf>
    <dxf>
      <border outline="0">
        <left style="thin">
          <color indexed="64"/>
        </left>
        <right style="thin">
          <color indexed="64"/>
        </right>
        <top style="thin">
          <color indexed="64"/>
        </top>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rgb="FF000000"/>
          <bgColor rgb="FF7094FF"/>
        </patternFill>
      </fill>
      <alignment horizontal="right" vertical="bottom"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rgb="FF000000"/>
          <bgColor rgb="FF7094FF"/>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rgb="FF000000"/>
          <bgColor rgb="FF7094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rgb="FF000000"/>
          <bgColor rgb="FF7094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rgb="FF000000"/>
          <bgColor rgb="FF7094FF"/>
        </patternFill>
      </fill>
      <alignment horizontal="right" vertical="bottom"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rgb="FF000000"/>
          <bgColor rgb="FF7094FF"/>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2" formatCode="0.00"/>
      <alignment horizontal="right" vertical="center"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 formatCode="0.00"/>
      <alignment horizontal="right" vertical="center" textRotation="0" wrapText="0" indent="0" justifyLastLine="0" shrinkToFit="0" readingOrder="0"/>
      <border diagonalUp="0" diagonalDown="0" outline="0">
        <left style="thin">
          <color indexed="64"/>
        </left>
        <right/>
        <top/>
        <bottom/>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numFmt numFmtId="3" formatCode="#,##0"/>
      <alignment horizontal="right"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numFmt numFmtId="3" formatCode="#,##0"/>
      <alignment horizontal="right"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 formatCode="0.00"/>
      <alignment horizontal="right" vertical="center"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 formatCode="0.00"/>
      <alignment horizontal="right" vertical="center" textRotation="0" wrapText="0" indent="0" justifyLastLine="0" shrinkToFit="0" readingOrder="0"/>
      <border diagonalUp="0" diagonalDown="0" outline="0">
        <left style="thin">
          <color indexed="64"/>
        </left>
        <right/>
        <top/>
        <bottom/>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numFmt numFmtId="3" formatCode="#,##0"/>
      <alignment horizontal="right"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rgb="FF000000"/>
          <bgColor rgb="FF7094FF"/>
        </patternFill>
      </fill>
      <alignment horizontal="right" vertical="bottom"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rgb="FF000000"/>
          <bgColor rgb="FF7094FF"/>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164" formatCode="_-* #,##0_-;\-* #,##0_-;_-* &quot;-&quot;??_-;_-@_-"/>
      <alignment horizontal="right" vertical="center"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center" textRotation="0" wrapText="0" indent="0" justifyLastLine="0" shrinkToFit="0" readingOrder="0"/>
      <border diagonalUp="0" diagonalDown="0" outline="0">
        <left style="thin">
          <color indexed="64"/>
        </left>
        <right/>
        <top/>
        <bottom/>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numFmt numFmtId="3" formatCode="#,##0"/>
      <alignment horizontal="right"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numFmt numFmtId="3" formatCode="#,##0"/>
      <alignment horizontal="right"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rgb="FF000000"/>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 formatCode="0.00"/>
      <alignment horizontal="right" vertical="center"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 formatCode="0.00"/>
      <alignment horizontal="right" vertical="center" textRotation="0" wrapText="0" indent="0" justifyLastLine="0" shrinkToFit="0" readingOrder="0"/>
      <border diagonalUp="0" diagonalDown="0" outline="0">
        <left style="thin">
          <color indexed="64"/>
        </left>
        <right/>
        <top/>
        <bottom/>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numFmt numFmtId="3" formatCode="#,##0"/>
      <alignment horizontal="right"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numFmt numFmtId="3" formatCode="#,##0"/>
      <alignment horizontal="right"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 formatCode="0.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 formatCode="0.00"/>
      <alignment horizontal="right" vertical="center" textRotation="0" wrapText="0" indent="0" justifyLastLine="0" shrinkToFit="0" readingOrder="0"/>
      <border diagonalUp="0" diagonalDown="0" outline="0">
        <left style="thin">
          <color rgb="FF000000"/>
        </left>
        <right/>
        <top/>
        <bottom/>
      </border>
    </dxf>
    <dxf>
      <alignment horizontal="left"/>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numFmt numFmtId="3" formatCode="#,##0"/>
      <alignment horizontal="right"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rgb="FF000000"/>
          <bgColor rgb="FF7094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numFmt numFmtId="3" formatCode="#,##0"/>
      <alignment horizontal="right"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rgb="FF000000"/>
          <bgColor rgb="FF7094FF"/>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2" formatCode="0.00"/>
      <alignment horizontal="right" vertical="center"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 formatCode="0.00"/>
      <alignment horizontal="right" vertical="center" textRotation="0" wrapText="0" indent="0" justifyLastLine="0" shrinkToFit="0" readingOrder="0"/>
      <border diagonalUp="0" diagonalDown="0" outline="0">
        <left style="thin">
          <color indexed="64"/>
        </left>
        <right/>
        <top/>
        <bottom/>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0" formatCode="General"/>
      <alignment horizontal="right" textRotation="0" wrapText="0" indent="0" justifyLastLine="0" shrinkToFit="0" readingOrder="0"/>
    </dxf>
    <dxf>
      <numFmt numFmtId="3" formatCode="#,##0"/>
      <alignment horizontal="right"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numFmt numFmtId="3" formatCode="#,##0"/>
      <alignment horizontal="right"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textRotation="0" wrapText="0" indent="0" justifyLastLine="0" shrinkToFit="0" readingOrder="0"/>
    </dxf>
    <dxf>
      <numFmt numFmtId="3" formatCode="#,##0"/>
      <alignment horizontal="right"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numFmt numFmtId="3" formatCode="#,##0"/>
      <alignment horizontal="right"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textRotation="0" wrapText="0" indent="0" justifyLastLine="0" shrinkToFit="0" readingOrder="0"/>
    </dxf>
    <dxf>
      <numFmt numFmtId="3" formatCode="#,##0"/>
      <alignment horizontal="right"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numFmt numFmtId="3" formatCode="#,##0"/>
      <alignment horizontal="right"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textRotation="0" wrapText="0" indent="0" justifyLastLine="0" shrinkToFit="0" readingOrder="0"/>
    </dxf>
    <dxf>
      <numFmt numFmtId="1"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alignment horizontal="right"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textRotation="0" wrapText="0" indent="0" justifyLastLine="0" shrinkToFit="0" readingOrder="0"/>
    </dxf>
    <dxf>
      <numFmt numFmtId="3" formatCode="#,##0"/>
      <alignment horizontal="right"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numFmt numFmtId="3" formatCode="#,##0"/>
      <alignment horizontal="right"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rgb="FF000000"/>
          <bgColor rgb="FF7094FF"/>
        </patternFill>
      </fill>
      <alignment horizontal="right"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2" formatCode="0.00"/>
      <alignment horizontal="right" vertical="center"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 formatCode="0.00"/>
      <alignment horizontal="right" vertical="center" textRotation="0" wrapText="0" indent="0" justifyLastLine="0" shrinkToFit="0" readingOrder="0"/>
      <border diagonalUp="0" diagonalDown="0" outline="0">
        <left style="thin">
          <color indexed="64"/>
        </left>
        <right/>
        <top/>
        <bottom/>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0" formatCode="General"/>
      <alignment horizontal="right" textRotation="0" wrapText="0" indent="0" justifyLastLine="0" shrinkToFit="0" readingOrder="0"/>
    </dxf>
    <dxf>
      <numFmt numFmtId="3" formatCode="#,##0"/>
      <alignment horizontal="right"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numFmt numFmtId="3" formatCode="#,##0"/>
      <alignment horizontal="right"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textRotation="0" wrapText="0" indent="0" justifyLastLine="0" shrinkToFit="0" readingOrder="0"/>
    </dxf>
    <dxf>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textRotation="0" wrapText="0" indent="0" justifyLastLine="0" shrinkToFit="0" readingOrder="0"/>
    </dxf>
    <dxf>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textRotation="0" wrapText="0" indent="0" justifyLastLine="0" shrinkToFit="0" readingOrder="0"/>
    </dxf>
    <dxf>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textRotation="0" wrapText="0" indent="0" justifyLastLine="0" shrinkToFit="0" readingOrder="0"/>
    </dxf>
    <dxf>
      <numFmt numFmtId="3" formatCode="#,##0"/>
      <alignment horizontal="right"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numFmt numFmtId="1" formatCode="0"/>
      <alignment horizontal="right"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rgb="FF000000"/>
          <bgColor rgb="FF7094FF"/>
        </patternFill>
      </fill>
      <alignment horizontal="right"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2" formatCode="0.00"/>
      <alignment horizontal="right" vertical="center"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 formatCode="0.00"/>
      <alignment horizontal="right" vertical="center" textRotation="0" wrapText="0" indent="0" justifyLastLine="0" shrinkToFit="0" readingOrder="0"/>
      <border diagonalUp="0" diagonalDown="0" outline="0">
        <left style="thin">
          <color indexed="64"/>
        </left>
        <right/>
        <top/>
        <bottom/>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0" formatCode="General"/>
      <alignment horizontal="right" textRotation="0" wrapText="0" indent="0" justifyLastLine="0" shrinkToFit="0" readingOrder="0"/>
    </dxf>
    <dxf>
      <numFmt numFmtId="3" formatCode="#,##0"/>
      <alignment horizontal="right"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numFmt numFmtId="3" formatCode="#,##0"/>
      <alignment horizontal="right"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textRotation="0" wrapText="0" indent="0" justifyLastLine="0" shrinkToFit="0" readingOrder="0"/>
    </dxf>
    <dxf>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textRotation="0" wrapText="0" indent="0" justifyLastLine="0" shrinkToFit="0" readingOrder="0"/>
    </dxf>
    <dxf>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textRotation="0" wrapText="0" indent="0" justifyLastLine="0" shrinkToFit="0" readingOrder="0"/>
    </dxf>
    <dxf>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rgb="FF000000"/>
          <bgColor rgb="FF7094FF"/>
        </patternFill>
      </fill>
      <alignment horizontal="right" textRotation="0" wrapText="0" indent="0" justifyLastLine="0" shrinkToFit="0" readingOrder="0"/>
      <border diagonalUp="0" diagonalDown="0" outline="0">
        <left style="thin">
          <color indexed="64"/>
        </left>
        <right/>
      </border>
    </dxf>
    <dxf>
      <font>
        <b val="0"/>
        <i val="0"/>
        <strike val="0"/>
        <condense val="0"/>
        <extend val="0"/>
        <outline val="0"/>
        <shadow val="0"/>
        <u val="none"/>
        <vertAlign val="baseline"/>
        <sz val="12"/>
        <color auto="1"/>
        <name val="Arial"/>
        <family val="2"/>
        <scheme val="none"/>
      </font>
      <numFmt numFmtId="3" formatCode="#,##0"/>
      <alignment horizontal="right"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0" formatCode="General"/>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rgb="FF000000"/>
          <bgColor rgb="FF7094FF"/>
        </patternFill>
      </fill>
      <alignment horizontal="right"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family val="2"/>
        <scheme val="none"/>
      </font>
      <numFmt numFmtId="164" formatCode="_-* #,##0_-;\-* #,##0_-;_-* &quot;-&quot;??_-;_-@_-"/>
      <alignment horizontal="right" vertical="center"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center" textRotation="0" wrapText="0" indent="0" justifyLastLine="0" shrinkToFit="0" readingOrder="0"/>
      <border diagonalUp="0" diagonalDown="0" outline="0">
        <left style="thin">
          <color indexed="64"/>
        </left>
        <right/>
        <top/>
        <bottom/>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numFmt numFmtId="3" formatCode="#,##0"/>
      <alignment horizontal="right" vertical="bottom"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left/>
        <right style="thin">
          <color indexed="64"/>
        </right>
        <top/>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numFmt numFmtId="3" formatCode="#,##0"/>
      <alignment horizontal="right" vertical="bottom" textRotation="0" wrapText="0" indent="0" justifyLastLine="0" shrinkToFit="0" readingOrder="0"/>
      <border diagonalUp="0" diagonalDown="0">
        <left style="thin">
          <color indexed="64"/>
        </left>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left/>
        <right style="thin">
          <color indexed="64"/>
        </right>
        <top/>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numFmt numFmtId="3" formatCode="#,##0"/>
      <alignment horizontal="right" vertical="bottom" textRotation="0" wrapText="0" indent="0" justifyLastLine="0" shrinkToFit="0" readingOrder="0"/>
      <border diagonalUp="0" diagonalDown="0">
        <left style="thin">
          <color indexed="64"/>
        </left>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left/>
        <right style="thin">
          <color indexed="64"/>
        </right>
        <top/>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left/>
        <right style="thin">
          <color indexed="64"/>
        </right>
        <top/>
        <bottom/>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rgb="FF000000"/>
          <bgColor rgb="FF7094FF"/>
        </patternFill>
      </fill>
      <alignment horizontal="right" vertical="bottom"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left/>
        <right style="thin">
          <color indexed="64"/>
        </right>
        <top/>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general" vertical="center"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general" vertical="center" textRotation="0" wrapText="0" indent="0" justifyLastLine="0" shrinkToFit="0" readingOrder="0"/>
      <border diagonalUp="0" diagonalDown="0" outline="0">
        <left style="thin">
          <color indexed="64"/>
        </left>
        <right/>
        <top/>
        <bottom/>
      </border>
    </dxf>
    <dxf>
      <alignment horizontal="left" vertical="center" textRotation="0" justifyLastLine="0" shrinkToFit="0" readingOrder="0"/>
    </dxf>
    <dxf>
      <border outline="0">
        <left style="thin">
          <color indexed="64"/>
        </left>
        <right style="thin">
          <color indexed="64"/>
        </right>
        <top style="thin">
          <color indexed="64"/>
        </top>
        <bottom style="thin">
          <color indexed="64"/>
        </bottom>
      </border>
    </dxf>
    <dxf>
      <border outline="0">
        <bottom style="thin">
          <color indexed="64"/>
        </bottom>
      </border>
    </dxf>
    <dxf>
      <alignmen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left/>
        <right style="thin">
          <color indexed="64"/>
        </right>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rgb="FF000000"/>
          <bgColor rgb="FF7094FF"/>
        </patternFill>
      </fill>
      <alignment horizontal="right" vertical="bottom"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left/>
        <right style="thin">
          <color indexed="64"/>
        </right>
        <top/>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rgb="FF000000"/>
          <bgColor rgb="FF7094FF"/>
        </patternFill>
      </fill>
      <alignment horizontal="right" vertical="bottom" textRotation="0" wrapText="0" indent="0" justifyLastLine="0" shrinkToFit="0" readingOrder="0"/>
      <border diagonalUp="0" diagonalDown="0">
        <left style="thin">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left/>
        <right style="thin">
          <color indexed="64"/>
        </right>
        <top/>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rgb="FF000000"/>
          <bgColor rgb="FF7094FF"/>
        </patternFill>
      </fill>
      <alignment horizontal="right" vertical="bottom" textRotation="0" wrapText="0" indent="0" justifyLastLine="0" shrinkToFit="0" readingOrder="0"/>
      <border diagonalUp="0" diagonalDown="0">
        <left style="thin">
          <color indexed="64"/>
        </left>
        <right/>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left/>
        <right style="thin">
          <color indexed="64"/>
        </right>
        <top/>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rgb="FF000000"/>
          <bgColor rgb="FF7094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left/>
        <right style="thin">
          <color indexed="64"/>
        </right>
        <top/>
        <bottom/>
        <vertical/>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numFmt numFmtId="3" formatCode="#,##0"/>
      <alignment horizontal="right" textRotation="0" wrapText="0" indent="0" justifyLastLine="0" shrinkToFit="0" readingOrder="0"/>
      <border diagonalUp="0" diagonalDown="0">
        <left style="thin">
          <color indexed="64"/>
        </left>
        <right/>
        <vertical/>
      </border>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border diagonalUp="0" diagonalDown="0">
        <left/>
        <right style="thin">
          <color indexed="64"/>
        </right>
        <top/>
        <bottom/>
      </border>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wrapText="0" indent="0" justifyLastLine="0" shrinkToFit="0" readingOrder="0"/>
    </dxf>
    <dxf>
      <numFmt numFmtId="3" formatCode="#,##0"/>
      <alignment horizontal="right"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 formatCode="0.00"/>
      <alignment horizontal="right" vertical="center" textRotation="0" wrapText="0" indent="0" justifyLastLine="0" shrinkToFit="0" readingOrder="0"/>
      <border diagonalUp="0" diagonalDown="0" outline="0">
        <left/>
        <right style="thin">
          <color indexed="64"/>
        </right>
      </border>
    </dxf>
    <dxf>
      <font>
        <b val="0"/>
        <i val="0"/>
        <strike val="0"/>
        <condense val="0"/>
        <extend val="0"/>
        <outline val="0"/>
        <shadow val="0"/>
        <u val="none"/>
        <vertAlign val="baseline"/>
        <sz val="12"/>
        <color auto="1"/>
        <name val="Arial"/>
        <family val="2"/>
        <scheme val="none"/>
      </font>
      <numFmt numFmtId="0" formatCode="Genera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 formatCode="0.00"/>
      <alignment horizontal="general" vertical="center" textRotation="0" wrapText="0" indent="0" justifyLastLine="0" shrinkToFit="0" readingOrder="0"/>
      <border diagonalUp="0" diagonalDown="0" outline="0">
        <left style="thin">
          <color indexed="64"/>
        </left>
        <right/>
        <top/>
        <bottom/>
      </border>
    </dxf>
    <dxf>
      <alignment horizontal="left" vertical="center" textRotation="0" justifyLastLine="0" shrinkToFit="0" readingOrder="0"/>
    </dxf>
    <dxf>
      <border outline="0">
        <left style="thin">
          <color indexed="64"/>
        </left>
        <right style="thin">
          <color indexed="64"/>
        </right>
        <top style="thin">
          <color indexed="64"/>
        </top>
        <bottom style="thin">
          <color indexed="64"/>
        </bottom>
      </border>
    </dxf>
    <dxf>
      <border outline="0">
        <bottom style="thin">
          <color indexed="64"/>
        </bottom>
      </border>
    </dxf>
    <dxf>
      <alignment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center" textRotation="0" wrapText="0" indent="0" justifyLastLine="0" shrinkToFit="0" readingOrder="0"/>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b/>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font>
        <strike val="0"/>
        <outline val="0"/>
        <shadow val="0"/>
        <u val="none"/>
        <vertAlign val="baseline"/>
        <sz val="12"/>
        <color auto="1"/>
        <name val="Arial"/>
        <family val="2"/>
        <scheme val="none"/>
      </font>
      <fill>
        <patternFill patternType="solid">
          <fgColor indexed="64"/>
          <bgColor rgb="FFFFFF00"/>
        </patternFill>
      </fill>
      <alignment horizontal="left" vertical="bottom" textRotation="0" wrapText="1" indent="0" justifyLastLine="0" shrinkToFit="0" readingOrder="0"/>
      <border outline="0">
        <left style="thin">
          <color indexed="64"/>
        </left>
      </border>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right style="thin">
          <color indexed="64"/>
        </right>
        <top style="thin">
          <color indexed="64"/>
        </top>
        <bottom style="thin">
          <color indexed="64"/>
        </bottom>
      </border>
    </dxf>
    <dxf>
      <font>
        <strike val="0"/>
        <outline val="0"/>
        <shadow val="0"/>
        <u val="none"/>
        <vertAlign val="baseline"/>
        <sz val="12"/>
        <color auto="1"/>
        <name val="Arial"/>
        <family val="2"/>
        <scheme val="none"/>
      </font>
      <fill>
        <patternFill patternType="solid">
          <fgColor indexed="64"/>
          <bgColor rgb="FFFFFF00"/>
        </patternFill>
      </fill>
    </dxf>
    <dxf>
      <border outline="0">
        <bottom style="thin">
          <color indexed="64"/>
        </bottom>
      </border>
    </dxf>
    <dxf>
      <font>
        <b/>
        <i val="0"/>
        <strike val="0"/>
        <condense val="0"/>
        <extend val="0"/>
        <outline val="0"/>
        <shadow val="0"/>
        <u val="none"/>
        <vertAlign val="baseline"/>
        <sz val="13"/>
        <color auto="1"/>
        <name val="Arial"/>
        <family val="2"/>
        <scheme val="none"/>
      </font>
      <alignment horizontal="left" textRotation="0" wrapText="0" indent="0" justifyLastLine="0" shrinkToFit="0" readingOrder="0"/>
      <border diagonalUp="0" diagonalDown="0" outline="0">
        <left style="thin">
          <color indexed="64"/>
        </left>
        <right style="thin">
          <color indexed="64"/>
        </right>
        <top/>
        <bottom/>
      </border>
    </dxf>
    <dxf>
      <alignment horizontal="left" textRotation="0" indent="0" justifyLastLine="0" shrinkToFit="0" readingOrder="0"/>
    </dxf>
    <dxf>
      <font>
        <b val="0"/>
        <i val="0"/>
        <strike val="0"/>
        <condense val="0"/>
        <extend val="0"/>
        <outline val="0"/>
        <shadow val="0"/>
        <u val="none"/>
        <vertAlign val="baseline"/>
        <sz val="12"/>
        <color theme="1"/>
        <name val="Arial"/>
        <family val="2"/>
        <scheme val="none"/>
      </font>
      <numFmt numFmtId="0" formatCode="General"/>
      <fill>
        <patternFill patternType="none">
          <fgColor indexed="64"/>
          <bgColor indexed="65"/>
        </patternFill>
      </fill>
      <alignment horizontal="left" textRotation="0" indent="0" justifyLastLine="0" shrinkToFit="0" readingOrder="0"/>
    </dxf>
    <dxf>
      <font>
        <b/>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875E424-97C6-4F38-A2C7-ED21F82551C5}" name="Contents" displayName="Contents" ref="A8:B20" totalsRowShown="0" headerRowDxfId="454">
  <tableColumns count="2">
    <tableColumn id="1" xr3:uid="{B6C27BE7-8678-48CD-BD9E-1EA900E737FF}" name="Table Title" dataDxfId="453"/>
    <tableColumn id="2" xr3:uid="{F35C077A-2319-49BE-B736-7C0518B1D356}" name="Link to table" dataDxfId="452"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816FA48-5A0F-4D3A-9DF7-56EC1EB233AD}" name="Notes" displayName="Notes" ref="A3:B4" totalsRowShown="0" headerRowDxfId="451" dataDxfId="449" headerRowBorderDxfId="450" tableBorderDxfId="448">
  <autoFilter ref="A3:B4" xr:uid="{D86A5866-1456-448A-9B6D-C08B9A17D359}">
    <filterColumn colId="0" hiddenButton="1"/>
    <filterColumn colId="1" hiddenButton="1"/>
  </autoFilter>
  <tableColumns count="2">
    <tableColumn id="1" xr3:uid="{F5C5EEFA-7230-40F3-8B30-2349DA93E9B5}" name="Note number" dataDxfId="447"/>
    <tableColumn id="2" xr3:uid="{DD91A25B-92C0-4459-993C-5C56AFED5C80}" name="Note text" dataDxfId="446"/>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4957C5C-4A7C-4DE9-BB3E-F25EB394D055}" name="Statistical_robustness_table8333" displayName="Statistical_robustness_table8333" ref="A6:C10" totalsRowShown="0" headerRowDxfId="445" dataDxfId="444">
  <tableColumns count="3">
    <tableColumn id="1" xr3:uid="{8652632B-B4C7-4AAB-ADFC-FA2E3C7B51C2}" name="CV Value " dataDxfId="443"/>
    <tableColumn id="6" xr3:uid="{4F6C7747-9494-40D5-9B88-285907C54C3F}" name="CV Category" dataDxfId="442"/>
    <tableColumn id="11" xr3:uid="{6BB7D2F1-9D63-496F-9BCE-E8C010F20F4F}" name="Definition of Category" dataDxfId="441"/>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6DA7F5F-3222-4C64-8019-A390A1648AF5}" name="North_East" displayName="North_East" ref="A13:AH23" totalsRowShown="0" headerRowDxfId="440" headerRowBorderDxfId="439" tableBorderDxfId="438">
  <autoFilter ref="A13:AH23" xr:uid="{1D21727F-3B8E-4D05-8FD8-729B67D457D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autoFilter>
  <tableColumns count="34">
    <tableColumn id="1" xr3:uid="{5451F06C-FA8B-49B1-A4E0-A680E1BCDE09}" name="Number of households (thousands) [note 1]" dataDxfId="437"/>
    <tableColumn id="2" xr3:uid="{9403F8A2-C4A6-4269-9A3E-259DFA647670}" name="2025 Estimate" dataDxfId="436" dataCellStyle="Comma"/>
    <tableColumn id="3" xr3:uid="{A97A8077-BBD6-49FC-9B72-9DC235A16CDF}" name="2025 CV" dataDxfId="435" dataCellStyle="Comma"/>
    <tableColumn id="4" xr3:uid="{663DA41C-E4A4-417A-9433-240DB0CC404E}" name="2025 CI+/-" dataDxfId="434" dataCellStyle="Comma"/>
    <tableColumn id="5" xr3:uid="{BEC18A9C-462C-4D77-A133-1665BB8CF6C1}" name="2024 Estimate" dataDxfId="433"/>
    <tableColumn id="6" xr3:uid="{4FBD7F70-0496-4CB7-BE4E-E00D4A312DFA}" name="2024 CV" dataDxfId="432"/>
    <tableColumn id="7" xr3:uid="{00616AF7-654D-4FCA-AF97-467778A9A4CD}" name="2024 CI+/-" dataDxfId="431"/>
    <tableColumn id="8" xr3:uid="{D2895AF9-1767-44EA-93A0-8CCFB2E13640}" name="2023 Estimate" dataDxfId="430"/>
    <tableColumn id="9" xr3:uid="{FA636F88-666D-479F-8336-0D0B12E61B86}" name="2023 CV" dataDxfId="429"/>
    <tableColumn id="10" xr3:uid="{0084B62A-B916-4BCE-8CE0-B48BCA5C0D30}" name="2023 CI+/-" dataDxfId="428"/>
    <tableColumn id="11" xr3:uid="{4035A35E-60C7-4D6C-8005-79A8CAC2408D}" name="2022 Estimate" dataDxfId="427"/>
    <tableColumn id="12" xr3:uid="{54147AED-832D-48EB-9172-1F28E7A39BAA}" name="2022 CV" dataDxfId="426"/>
    <tableColumn id="13" xr3:uid="{1935ACF7-9EFE-41D5-AF0D-A2949B27C27F}" name="2022 CI+/-" dataDxfId="425"/>
    <tableColumn id="14" xr3:uid="{0B915E8D-36DC-41AD-982D-BB86BD94E307}" name="2021 Estimate" dataDxfId="424"/>
    <tableColumn id="15" xr3:uid="{A5760FF3-3C8D-4983-9227-1A1E596EDCEE}" name="2021 CV" dataDxfId="423"/>
    <tableColumn id="16" xr3:uid="{CD2D9F58-C993-4702-A480-5CBA55C696A9}" name="2021 CI+/-" dataDxfId="422"/>
    <tableColumn id="17" xr3:uid="{60539329-CA21-4307-9FE5-6E716E6C49DF}" name="2020 Estimate" dataDxfId="421"/>
    <tableColumn id="18" xr3:uid="{4515B51C-FA23-47C8-AC3C-EDB2CDD234C1}" name="2020 CV" dataDxfId="420"/>
    <tableColumn id="19" xr3:uid="{5ACF735F-854B-48E0-A973-F3ACFC456DF6}" name="2020 CI+/-" dataDxfId="419"/>
    <tableColumn id="20" xr3:uid="{C79B752A-BBD4-46D5-9F39-7300A86AC9F5}" name="2019 Estimate" dataDxfId="418"/>
    <tableColumn id="21" xr3:uid="{8C11E496-A11F-4152-8884-0F57E9726C37}" name="2019 CV" dataDxfId="417"/>
    <tableColumn id="22" xr3:uid="{80D427A0-F6CF-40C4-8DAF-AEC4E768CFD6}" name="2019 CI+/-" dataDxfId="416"/>
    <tableColumn id="23" xr3:uid="{10F6FA42-CFE2-4F4C-B5AA-F077830A8D8B}" name="2018 Estimate" dataDxfId="415"/>
    <tableColumn id="24" xr3:uid="{D7254379-F63E-42CB-9B43-206DBBB61E68}" name="2018 CV" dataDxfId="414"/>
    <tableColumn id="25" xr3:uid="{14D69E14-7519-40AC-AFDE-23B365CA0709}" name="2018 CI+/-" dataDxfId="413"/>
    <tableColumn id="26" xr3:uid="{16A6E69D-C4C8-4DDB-BD16-B0C78A65DF46}" name="2017 Estimate" dataDxfId="412"/>
    <tableColumn id="27" xr3:uid="{A5B32699-898E-4613-BB30-8B162219A004}" name="2017 CV" dataDxfId="411"/>
    <tableColumn id="28" xr3:uid="{272EFB65-AE62-4555-8DAC-866BB0B68807}" name="2017 CI+/-" dataDxfId="410"/>
    <tableColumn id="29" xr3:uid="{1928CEB6-17DF-4CAD-BF57-D06FAC6FEA69}" name="2016 Estimate" dataDxfId="409"/>
    <tableColumn id="30" xr3:uid="{72885584-406D-4B70-8F73-C4801B095D4E}" name="2016 CV" dataDxfId="408"/>
    <tableColumn id="31" xr3:uid="{21C18E05-C8FF-49DA-A471-3268F33F748D}" name="2016 CI+/-" dataDxfId="407"/>
    <tableColumn id="32" xr3:uid="{EE95B94D-830A-41CF-B0FC-56D7DFC1CF94}" name="2015 Estimate" dataDxfId="406"/>
    <tableColumn id="33" xr3:uid="{1DF02942-DB4D-4ADA-97A7-8568281B4BCF}" name="2015 CV" dataDxfId="405"/>
    <tableColumn id="34" xr3:uid="{C0672B57-3A81-40C5-88B0-F51709217756}" name="2015 CI+/-" dataDxfId="40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986A8F5-AF31-4099-AA14-8B09A7986DCD}" name="North_West" displayName="North_West" ref="A13:AH23" totalsRowShown="0" headerRowDxfId="403" headerRowBorderDxfId="402" tableBorderDxfId="401">
  <autoFilter ref="A13:AH23" xr:uid="{28E1DDB2-9CF2-4B10-BEA2-F2B2BB54972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autoFilter>
  <tableColumns count="34">
    <tableColumn id="1" xr3:uid="{F88EBA28-CB0D-4F42-8877-14C3BCABE114}" name="Number of households (thousands) [note 1]" dataDxfId="400"/>
    <tableColumn id="2" xr3:uid="{F1C75043-5786-4C09-A8B3-1E6261E25D6A}" name="2025 Estimate" dataDxfId="399" dataCellStyle="Comma"/>
    <tableColumn id="3" xr3:uid="{B1568A81-CF4F-49EB-9565-DEF50BB4146B}" name="2025 CV" dataDxfId="398" dataCellStyle="Comma"/>
    <tableColumn id="4" xr3:uid="{FC4D2A80-FE47-4986-84BB-3D0E54E86FDF}" name="2025 CI+/-" dataDxfId="397" dataCellStyle="Comma"/>
    <tableColumn id="5" xr3:uid="{291915E6-55FA-432C-B105-23F77E477EA6}" name="2024 Estimate" dataDxfId="396"/>
    <tableColumn id="6" xr3:uid="{AA6A53DC-3C32-4D97-A37D-113B52AB60ED}" name="2024 CV" dataDxfId="395"/>
    <tableColumn id="7" xr3:uid="{98754C6A-F07C-4A71-A346-B2DAFF6D683D}" name="2024 CI+/-" dataDxfId="394"/>
    <tableColumn id="8" xr3:uid="{B9F6A167-01E4-42FA-B813-CB8EC6940527}" name="2023 Estimate" dataDxfId="393"/>
    <tableColumn id="9" xr3:uid="{9E60D053-8524-4E1F-91ED-636A2309CD59}" name="2023 CV" dataDxfId="392"/>
    <tableColumn id="10" xr3:uid="{1C5FFD16-81D1-4360-B9DC-3226C7E51FE9}" name="2023 CI+/-" dataDxfId="391"/>
    <tableColumn id="11" xr3:uid="{F28C244D-AD7A-46A4-AF84-3D45875EBB7D}" name="2022 Estimate" dataDxfId="390"/>
    <tableColumn id="12" xr3:uid="{6B0C9655-47BE-41FD-BCDF-23CD2EF6B954}" name="2022 CV" dataDxfId="389"/>
    <tableColumn id="13" xr3:uid="{9A7B70C6-A71F-4339-AD8D-DF1386A19591}" name="2022 CI+/-" dataDxfId="388"/>
    <tableColumn id="14" xr3:uid="{7F08EE63-77BE-4AE1-9CAA-D768A9B84069}" name="2021 Estimate" dataDxfId="387"/>
    <tableColumn id="15" xr3:uid="{D910F316-9EF5-4393-9CFF-17690F60D0E9}" name="2021 CV" dataDxfId="386"/>
    <tableColumn id="16" xr3:uid="{3DDF4F51-A125-4057-A325-1910D49C1301}" name="2021 CI+/-" dataDxfId="385"/>
    <tableColumn id="17" xr3:uid="{9078322F-4122-4F9F-B276-A29EBEF294EE}" name="2020 Estimate" dataDxfId="384"/>
    <tableColumn id="18" xr3:uid="{19233F31-BF12-46DC-93E2-3A3D9344DFA0}" name="2020 CV" dataDxfId="383"/>
    <tableColumn id="19" xr3:uid="{98E0A6AC-0D2F-4F8C-8536-3399CFB14E2B}" name="2020 CI+/-" dataDxfId="382"/>
    <tableColumn id="20" xr3:uid="{C4CD2968-CFD4-4E7C-9712-EDC6214982C2}" name="2019 Estimate" dataDxfId="381"/>
    <tableColumn id="21" xr3:uid="{1672C168-98D5-4073-A76B-27ECD55E37C6}" name="2019 CV" dataDxfId="380"/>
    <tableColumn id="22" xr3:uid="{D8E298D7-C8B2-483B-B073-963FF3680F8F}" name="2019 CI+/-" dataDxfId="379"/>
    <tableColumn id="23" xr3:uid="{4337B07E-0722-4BDE-8E4D-356B8B3A20EC}" name="2018 Estimate" dataDxfId="378"/>
    <tableColumn id="24" xr3:uid="{ED7110B3-1F3F-4F6B-897F-637E0EC3D37B}" name="2018 CV" dataDxfId="377"/>
    <tableColumn id="25" xr3:uid="{DF9367F1-D17A-4D63-8246-F8ACACBF4161}" name="2018 CI+/-" dataDxfId="376"/>
    <tableColumn id="26" xr3:uid="{3089129C-3C6B-4C7D-9047-CC0B1A8DCD50}" name="2017 Estimate" dataDxfId="375"/>
    <tableColumn id="27" xr3:uid="{81A03377-441C-45E7-B17D-5601EAD372BE}" name="2017 CV" dataDxfId="374"/>
    <tableColumn id="28" xr3:uid="{4AF6EB70-AA3A-466E-9D6A-D1849E7F8FC6}" name="2017 CI+/-" dataDxfId="373"/>
    <tableColumn id="29" xr3:uid="{371462E8-D0E8-4BDA-85B5-F376EF164C38}" name="2016 Estimate" dataDxfId="372"/>
    <tableColumn id="30" xr3:uid="{0290D344-89D2-4D2C-A6C0-D928908FE99C}" name="2016 CV" dataDxfId="371"/>
    <tableColumn id="31" xr3:uid="{6605972F-9973-4980-B8D4-503E314CE3C0}" name="2016 CI+/-" dataDxfId="370"/>
    <tableColumn id="32" xr3:uid="{D090EECA-CC6D-4F3C-B26A-91FE0F553AA9}" name="2015 Estimate" dataDxfId="369"/>
    <tableColumn id="33" xr3:uid="{3BC4614E-15E2-41BD-8867-43CE73DC8E17}" name="2015 CV" dataDxfId="368"/>
    <tableColumn id="34" xr3:uid="{21422369-1B55-4545-B465-464D2564D1F0}" name="2015 CI+/-" dataDxfId="367"/>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DA416F6-F915-4BE3-AF0B-420367A33FB7}" name="Yorkshire_and_The_Humber" displayName="Yorkshire_and_The_Humber" ref="A13:AH23" totalsRowShown="0" headerRowDxfId="366" headerRowBorderDxfId="365" tableBorderDxfId="364">
  <autoFilter ref="A13:AH23" xr:uid="{F361D26B-2672-4ED1-8037-C29611D4228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autoFilter>
  <tableColumns count="34">
    <tableColumn id="1" xr3:uid="{690108AF-FDC1-452B-9B62-71326487F223}" name="Number of households (thousands) [note 1]"/>
    <tableColumn id="2" xr3:uid="{B941D528-05D6-40C3-8790-A6DCA0D5D1CB}" name="2025 Estimate" dataDxfId="363" dataCellStyle="Comma"/>
    <tableColumn id="3" xr3:uid="{42180E29-B00B-4FDE-8C77-21C3CFA7AFF6}" name="2025 CV" dataDxfId="362" dataCellStyle="Comma"/>
    <tableColumn id="4" xr3:uid="{AC342EA2-7507-4C90-80DF-5241821527B2}" name="2025 CI+/-" dataDxfId="361" dataCellStyle="Comma"/>
    <tableColumn id="5" xr3:uid="{A3F63D1A-0BB9-43E4-83A3-A243739546DA}" name="2024 Estimate" dataDxfId="360"/>
    <tableColumn id="6" xr3:uid="{AAEF51B0-3D64-4023-BD68-CBE16B4EC5C2}" name="2024 CV" dataDxfId="359"/>
    <tableColumn id="7" xr3:uid="{CF5F66EE-BE2C-40B8-8AC1-417331B403DE}" name="2024 CI+/-" dataDxfId="358"/>
    <tableColumn id="8" xr3:uid="{CBD70D30-DE11-4CF9-9CD1-E7AF5107953F}" name="2023 Estimate" dataDxfId="357"/>
    <tableColumn id="9" xr3:uid="{4103306B-4D94-47F7-911D-C5FA6CEA65DF}" name="2023 CV" dataDxfId="356"/>
    <tableColumn id="10" xr3:uid="{07BD1C23-27DB-46E7-879E-5377D4E60E7B}" name="2023 CI+/-" dataDxfId="355"/>
    <tableColumn id="11" xr3:uid="{D2619FBC-7431-4B41-A16F-31F1EF85A635}" name="2022 Estimate" dataDxfId="354"/>
    <tableColumn id="12" xr3:uid="{84CA0DB1-CB00-4647-9CFE-32C5666E7971}" name="2022 CV" dataDxfId="353"/>
    <tableColumn id="13" xr3:uid="{D1F5332B-1E30-4D7C-82F8-6ACB93433F54}" name="2022 CI+/-" dataDxfId="352"/>
    <tableColumn id="14" xr3:uid="{4B6101A0-26CF-429D-8A5E-5321F822A108}" name="2021 Estimate" dataDxfId="351"/>
    <tableColumn id="15" xr3:uid="{F648B5A6-B124-4114-AACF-9245C64080FB}" name="2021 CV" dataDxfId="350"/>
    <tableColumn id="16" xr3:uid="{0A54780D-4EA3-47ED-BA9B-56C7C01B99EC}" name="2021 CI+/-" dataDxfId="349"/>
    <tableColumn id="17" xr3:uid="{ADC95223-8049-4BAF-B5B7-FDF1DAB58B05}" name="2020 Estimate" dataDxfId="348"/>
    <tableColumn id="18" xr3:uid="{6E8E3E1D-8D52-4E9D-AA50-75A8F54A0A27}" name="2020 CV" dataDxfId="347"/>
    <tableColumn id="19" xr3:uid="{91DD156D-09C0-427E-AAC7-31382DB7E440}" name="2020 CI+/-" dataDxfId="346"/>
    <tableColumn id="20" xr3:uid="{F1354493-AFF2-4932-96B3-421BA05FAF01}" name="2019 Estimate" dataDxfId="345"/>
    <tableColumn id="21" xr3:uid="{280C72E2-0F7B-4E94-AB8C-1DFEB0CD6CD5}" name="2019 CV" dataDxfId="344"/>
    <tableColumn id="22" xr3:uid="{30E2EC73-88EC-4089-BAAB-9817D648F12B}" name="2019 CI+/-" dataDxfId="343"/>
    <tableColumn id="23" xr3:uid="{00089CFA-C983-4ED2-B68E-3E3FB45DE289}" name="2018 Estimate" dataDxfId="342"/>
    <tableColumn id="24" xr3:uid="{CAAD47A5-FD44-4BFC-9010-8CE3D0215456}" name="2018 CV" dataDxfId="341"/>
    <tableColumn id="25" xr3:uid="{D20E76EF-122E-413C-B399-4AD95C9C7DB0}" name="2018 CI+/-" dataDxfId="340"/>
    <tableColumn id="26" xr3:uid="{45B29953-E451-44AB-BA99-ACE6E37CF506}" name="2017 Estimate" dataDxfId="339"/>
    <tableColumn id="27" xr3:uid="{F53FAFAE-48C7-4D50-B80D-5B4ADF56E53B}" name="2017 CV" dataDxfId="338"/>
    <tableColumn id="28" xr3:uid="{FCACCAB6-5678-4659-8EBB-03087F91A106}" name="2017 CI+/-" dataDxfId="337"/>
    <tableColumn id="29" xr3:uid="{41B90A05-7797-416A-BC25-4335E59325D1}" name="2016 Estimate" dataDxfId="336"/>
    <tableColumn id="30" xr3:uid="{99AD4EF7-9D37-422B-82EE-71478B59D328}" name="2016 CV" dataDxfId="335"/>
    <tableColumn id="31" xr3:uid="{74B244D8-2132-482D-9348-0A936E4C65E0}" name="2016 CI+/-" dataDxfId="334"/>
    <tableColumn id="32" xr3:uid="{C6F186E2-D9B6-4FCB-81B8-0B7E58BFA69E}" name="2015 Estimate" dataDxfId="333"/>
    <tableColumn id="33" xr3:uid="{C65D3019-487A-4D13-B5B1-92CD84EC5811}" name="2015 CV" dataDxfId="332"/>
    <tableColumn id="34" xr3:uid="{B3193240-768E-410F-B3DD-97F2E8786F65}" name="2015 CI+/-" dataDxfId="331"/>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4D3F1C2-086A-4A83-8EA5-1D1650F4B7D2}" name="East_Midlands" displayName="East_Midlands" ref="A13:AH23" totalsRowShown="0" headerRowDxfId="330" headerRowBorderDxfId="329" tableBorderDxfId="328">
  <autoFilter ref="A13:AH23" xr:uid="{BA2417D8-EA64-43DE-A847-A78816F984D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autoFilter>
  <tableColumns count="34">
    <tableColumn id="1" xr3:uid="{EB6D3939-70C4-46C8-8F2B-F9603BD4D72C}" name="Number of households (thousands) [note 1]"/>
    <tableColumn id="2" xr3:uid="{9455B7A9-7EBE-495A-B3EA-8B07F97C2920}" name="2025 Estimate" dataDxfId="327" dataCellStyle="Comma"/>
    <tableColumn id="3" xr3:uid="{96F2FA25-7B64-4CF4-A410-FF40ED3472AA}" name="2025 CV" dataDxfId="326" dataCellStyle="Comma"/>
    <tableColumn id="4" xr3:uid="{2651AF38-1B68-4D13-A8C4-5E66C39777C4}" name="2025 CI+/-" dataDxfId="325" dataCellStyle="Comma"/>
    <tableColumn id="5" xr3:uid="{CBEB666B-B975-4FB4-8798-984ED60F319C}" name="2024 Estimate" dataDxfId="324"/>
    <tableColumn id="6" xr3:uid="{15475C85-6CF4-4D74-AED8-D3566D8F234A}" name="2024 CV" dataDxfId="323"/>
    <tableColumn id="7" xr3:uid="{AF307733-2DF2-4EBC-AD36-E81A3C5C7AEC}" name="2024 CI+/-" dataDxfId="322"/>
    <tableColumn id="8" xr3:uid="{521C8DFA-F1B8-4798-BDA7-8DF8A2CD8C2E}" name="2023 Estimate" dataDxfId="321"/>
    <tableColumn id="9" xr3:uid="{87072D5C-7B49-4BFE-8D0D-63ED76564709}" name="2023 CV" dataDxfId="320"/>
    <tableColumn id="10" xr3:uid="{317A0503-C648-45F6-AC00-8FED0F03BF71}" name="2023 CI+/-" dataDxfId="319"/>
    <tableColumn id="11" xr3:uid="{42EAD57D-9CE5-402B-B960-3DBC8974CEB3}" name="2022 Estimate" dataDxfId="318"/>
    <tableColumn id="12" xr3:uid="{D7387A53-3CF2-4BAC-A661-C3A36DEF2AD3}" name="2022 CV" dataDxfId="317"/>
    <tableColumn id="13" xr3:uid="{46C35C91-2EEE-4E6C-867C-8F8F785BFA85}" name="2022 CI+/-" dataDxfId="316"/>
    <tableColumn id="14" xr3:uid="{C0916946-0484-4560-B781-E503B58D39F6}" name="2021 Estimate" dataDxfId="315"/>
    <tableColumn id="15" xr3:uid="{D7270664-DECC-49B6-BE85-E8B5ACFA6F66}" name="2021 CV" dataDxfId="314"/>
    <tableColumn id="16" xr3:uid="{4ECC35EE-630E-4041-A9FC-A74A3ABB33E6}" name="2021 CI+/-" dataDxfId="313"/>
    <tableColumn id="17" xr3:uid="{4CFA2E7E-06CD-4A25-B383-87A582F0737A}" name="2020 Estimate" dataDxfId="312"/>
    <tableColumn id="18" xr3:uid="{2D2574BF-DDED-42FF-88D6-350B271A8F70}" name="2020 CV" dataDxfId="311"/>
    <tableColumn id="19" xr3:uid="{BA6D1895-8978-4873-BAAE-5EA3EBFAF182}" name="2020 CI+/-" dataDxfId="310"/>
    <tableColumn id="20" xr3:uid="{BC030FD4-AAAB-45AE-95FA-6985640386A6}" name="2019 Estimate" dataDxfId="309"/>
    <tableColumn id="21" xr3:uid="{7CC69C27-E707-45F1-920E-1B83A089FB72}" name="2019 CV" dataDxfId="308"/>
    <tableColumn id="22" xr3:uid="{32C4033F-A9E6-4BB3-8DFD-7E484ABA4DAB}" name="2019 CI+/-" dataDxfId="307"/>
    <tableColumn id="23" xr3:uid="{1A31055D-D4C8-47E2-BB9B-6B5998439CFF}" name="2018 Estimate" dataDxfId="306"/>
    <tableColumn id="24" xr3:uid="{1E651F50-020D-4A9A-94E9-B484E76963FF}" name="2018 CV" dataDxfId="305"/>
    <tableColumn id="25" xr3:uid="{4AB456E5-F3B1-408D-8673-C20AF8C8A069}" name="2018 CI+/-" dataDxfId="304"/>
    <tableColumn id="26" xr3:uid="{B555BE70-05CA-4415-A95B-BCBC9C0ED32A}" name="2017 Estimate" dataDxfId="303"/>
    <tableColumn id="27" xr3:uid="{DDFED1B0-62D8-4369-B25F-E4F7B6E7016C}" name="2017 CV" dataDxfId="302"/>
    <tableColumn id="28" xr3:uid="{D115BCA7-4279-45E6-BA89-1036C76B977E}" name="2017 CI+/-" dataDxfId="301"/>
    <tableColumn id="29" xr3:uid="{3EE08D69-012F-4970-B196-808692843890}" name="2016 Estimate" dataDxfId="300"/>
    <tableColumn id="30" xr3:uid="{017DE9FF-B789-472B-B20E-284B2F1717FB}" name="2016 CV" dataDxfId="299"/>
    <tableColumn id="31" xr3:uid="{27BD6625-D470-4FF5-A05E-7C04BDA9376A}" name="2016 CI+/-" dataDxfId="298"/>
    <tableColumn id="32" xr3:uid="{610C8653-DA2B-44D1-864F-63CC60A9D44B}" name="2015 Estimate" dataDxfId="297"/>
    <tableColumn id="33" xr3:uid="{C9C97283-2023-4AB3-AC68-D2B5CD77D71C}" name="2015 CV" dataDxfId="296"/>
    <tableColumn id="34" xr3:uid="{A4A2EBAA-4AAB-4DA2-8C0D-E3E24A47F5B3}" name="2015 CI+/-" dataDxfId="295"/>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C617A32-DA35-447C-BD16-92BD87030AF5}" name="West_Midlands" displayName="West_Midlands" ref="A13:AH23" totalsRowShown="0" headerRowDxfId="294" headerRowBorderDxfId="293" tableBorderDxfId="292">
  <autoFilter ref="A13:AH23" xr:uid="{F9CD76BD-8A54-4798-A51F-D06F4724E7A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autoFilter>
  <tableColumns count="34">
    <tableColumn id="1" xr3:uid="{64084842-94E1-4A3A-BF81-4FE97A2B49CA}" name="Number of households (thousands) [note 1]"/>
    <tableColumn id="2" xr3:uid="{072FD925-A696-44FA-9110-89940992E244}" name="2025 Estimate" dataDxfId="291" dataCellStyle="Comma"/>
    <tableColumn id="3" xr3:uid="{E8042E9B-C4B4-4C38-990E-3A3ADF292DE7}" name="2025 CV" dataDxfId="290" dataCellStyle="Comma"/>
    <tableColumn id="4" xr3:uid="{83BFDFCD-6151-43FF-9F7C-53DB91FBDB89}" name="2025 CI+/-" dataDxfId="289" dataCellStyle="Comma"/>
    <tableColumn id="5" xr3:uid="{F2459476-C413-4D60-9579-C899D2D7994F}" name="2024 Estimate" dataDxfId="288"/>
    <tableColumn id="6" xr3:uid="{B8EA0D5E-6D5A-4459-87CB-0D2B08E79435}" name="2024 CV" dataDxfId="287"/>
    <tableColumn id="7" xr3:uid="{3F9B95B9-423B-4461-A6E7-D77AD4CE678E}" name="2024 CI+/-" dataDxfId="286"/>
    <tableColumn id="8" xr3:uid="{12E4CDFF-FB98-407E-874B-6D3A789A7006}" name="2023 Estimate" dataDxfId="285"/>
    <tableColumn id="9" xr3:uid="{1CC0F8E8-FBCE-49F3-81A0-6FCD30C3D690}" name="2023 CV" dataDxfId="284"/>
    <tableColumn id="10" xr3:uid="{112C1E7F-0F08-482B-ABF4-9C44D852511E}" name="2023 CI+/-" dataDxfId="283"/>
    <tableColumn id="11" xr3:uid="{B61F3B9B-0707-46A9-A69E-0D3DF0FB1140}" name="2022 Estimate" dataDxfId="282"/>
    <tableColumn id="12" xr3:uid="{EDB59406-F3D4-4FA8-BBC7-B1760FDCDE4E}" name="2022 CV" dataDxfId="281"/>
    <tableColumn id="13" xr3:uid="{58B2B3BC-892E-4050-82F2-7355AC90CF69}" name="2022 CI+/-" dataDxfId="280"/>
    <tableColumn id="14" xr3:uid="{1C8B826F-4785-4AA6-81FC-BD3222E7ECE4}" name="2021 Estimate" dataDxfId="279"/>
    <tableColumn id="15" xr3:uid="{5D72929C-5381-4876-8D08-3018A9352582}" name="2021 CV" dataDxfId="278"/>
    <tableColumn id="16" xr3:uid="{D34EB6F0-4EAC-4A38-8CF1-EFC2ED22D3F3}" name="2021 CI+/-" dataDxfId="277"/>
    <tableColumn id="17" xr3:uid="{1D08B2D0-1ABA-42EC-B2E5-D0AFFB5208C6}" name="2020 Estimate" dataDxfId="276"/>
    <tableColumn id="18" xr3:uid="{D44F6EC9-CF1F-4402-AFB0-19982E47DDBA}" name="2020 CV" dataDxfId="275"/>
    <tableColumn id="19" xr3:uid="{43DCA4B3-EE93-4EB9-9BB9-ED41B366C1C6}" name="2020 CI+/-" dataDxfId="274"/>
    <tableColumn id="20" xr3:uid="{A512D42F-8A65-4BA8-9CBF-A5AB8C976C45}" name="2019 Estimate" dataDxfId="273"/>
    <tableColumn id="21" xr3:uid="{F4EEB75D-1223-4D90-99BB-0495EA2A7E0C}" name="2019 CV" dataDxfId="272"/>
    <tableColumn id="22" xr3:uid="{A308CEC7-9BEA-4240-BF47-4DA8780602DC}" name="2019 CI+/-" dataDxfId="271"/>
    <tableColumn id="23" xr3:uid="{247773E7-5213-4BBE-9C26-B001A4F351BD}" name="2018 Estimate" dataDxfId="270"/>
    <tableColumn id="24" xr3:uid="{9EF4AFE5-06AE-4C9F-B960-37207925F89D}" name="2018 CV" dataDxfId="269"/>
    <tableColumn id="25" xr3:uid="{700759CA-91C4-471E-BB6B-700D8B095B5F}" name="2018 CI+/-" dataDxfId="268"/>
    <tableColumn id="26" xr3:uid="{5711BB10-7E43-4644-9957-19FEBC451E53}" name="2017 Estimate" dataDxfId="267"/>
    <tableColumn id="27" xr3:uid="{C82237F5-1651-4C1C-B8E9-78E4CF97373F}" name="2017 CV" dataDxfId="266"/>
    <tableColumn id="28" xr3:uid="{A02349DA-2B7B-4569-B86C-C9791F3FC3BD}" name="2017 CI+/-" dataDxfId="265"/>
    <tableColumn id="29" xr3:uid="{BE9B63C3-0269-4F7B-93C0-E3B27A65A62C}" name="2016 Estimate" dataDxfId="264"/>
    <tableColumn id="30" xr3:uid="{28DF077C-B56F-4EE5-8E5E-E0B192051739}" name="2016 CV" dataDxfId="263"/>
    <tableColumn id="31" xr3:uid="{9DB6989D-C8DB-4CDD-AD02-151FFD123CFD}" name="2016 CI+/-" dataDxfId="262"/>
    <tableColumn id="32" xr3:uid="{8E26DED8-0AA4-410A-BA62-3A2B87AEDD97}" name="2015 Estimate" dataDxfId="261"/>
    <tableColumn id="33" xr3:uid="{953D8417-52A5-48A7-B486-BA112873C308}" name="2015 CV" dataDxfId="260"/>
    <tableColumn id="34" xr3:uid="{F0FA1AD9-5D1D-4B09-B9B7-E51E3745429D}" name="2015 CI+/-" dataDxfId="259"/>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5E2B227-2F80-4E60-93DD-90AD1116964B}" name="East" displayName="East" ref="A13:AH23" totalsRowShown="0" headerRowDxfId="258" headerRowBorderDxfId="257" tableBorderDxfId="256">
  <autoFilter ref="A13:AH23" xr:uid="{C8EA4E80-8934-48BE-818B-DF2BAAC3650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autoFilter>
  <tableColumns count="34">
    <tableColumn id="1" xr3:uid="{E91A9192-B240-46F7-9D97-6567FD126860}" name="Number of households (thousands) [note 1]"/>
    <tableColumn id="2" xr3:uid="{C297FC0A-03C3-4264-B813-012110E4BC79}" name="2025 Estimate" dataDxfId="255" dataCellStyle="Comma"/>
    <tableColumn id="3" xr3:uid="{F61CB2F1-4D0B-43CC-BDD4-565E01AEFA6F}" name="2025 CV" dataDxfId="254" dataCellStyle="Comma"/>
    <tableColumn id="4" xr3:uid="{B4FC3249-C02F-46B6-81E1-045C8BD2CDEA}" name="2025 CI+/-" dataDxfId="253" dataCellStyle="Comma"/>
    <tableColumn id="5" xr3:uid="{75E08461-A719-429A-893E-F5F24195E416}" name="2024 Estimate" dataDxfId="252"/>
    <tableColumn id="6" xr3:uid="{0D17AF41-CCA9-41C1-821F-8B7422E7F15C}" name="2024 CV" dataDxfId="251"/>
    <tableColumn id="7" xr3:uid="{576E8F10-E235-41E9-A075-171C32B76EA7}" name="2024 CI+/-" dataDxfId="250"/>
    <tableColumn id="8" xr3:uid="{F9A688E3-2F35-40DA-BB7C-DB1CFC301550}" name="2023 Estimate" dataDxfId="249"/>
    <tableColumn id="9" xr3:uid="{A0C39F67-F0B1-49E8-802E-8A95BF5F4E9A}" name="2023 CV" dataDxfId="248"/>
    <tableColumn id="10" xr3:uid="{53B0547D-F72B-4233-8EA4-1E2F91E0397E}" name="2023 CI+/-" dataDxfId="247"/>
    <tableColumn id="11" xr3:uid="{9ED9A4B2-99CA-4C9F-9A3E-D928140662AC}" name="2022 Estimate" dataDxfId="246"/>
    <tableColumn id="12" xr3:uid="{DDCF49DE-8D0A-4755-854D-8D7D65A53FFA}" name="2022 CV" dataDxfId="245"/>
    <tableColumn id="13" xr3:uid="{D328085C-AB19-4EF6-88C5-A12E9699AF39}" name="2022 CI+/-" dataDxfId="244"/>
    <tableColumn id="14" xr3:uid="{277A2170-D194-4FEB-A12C-964C827F9CAF}" name="2021 Estimate" dataDxfId="243"/>
    <tableColumn id="15" xr3:uid="{13953794-4A11-43C2-B3B1-ADA79F1478F2}" name="2021 CV" dataDxfId="242"/>
    <tableColumn id="16" xr3:uid="{D289100B-07F6-449B-A6BF-0FEECEBB033B}" name="2021 CI+/-" dataDxfId="241"/>
    <tableColumn id="17" xr3:uid="{323676AA-B44D-4331-8A6B-4845B1A1D8D0}" name="2020 Estimate" dataDxfId="240"/>
    <tableColumn id="18" xr3:uid="{516D5CB8-36B1-4CA2-AC07-63A8EC79308A}" name="2020 CV" dataDxfId="239"/>
    <tableColumn id="19" xr3:uid="{21ABD416-6093-474F-A75E-FE2DAF410FBC}" name="2020 CI+/-" dataDxfId="238"/>
    <tableColumn id="20" xr3:uid="{D54A3E6A-43DA-4511-8788-C3EC3BD0B95E}" name="2019 Estimate" dataDxfId="237"/>
    <tableColumn id="21" xr3:uid="{1E323BC3-2EF7-47AA-AE0D-E3F7FEC15C95}" name="2019 CV" dataDxfId="236"/>
    <tableColumn id="22" xr3:uid="{5A4AA873-2230-476A-BE6A-14393DE7AFC0}" name="2019 CI+/-" dataDxfId="235"/>
    <tableColumn id="23" xr3:uid="{0BBD641A-094F-4FA8-9B41-534E9F668A00}" name="2018 Estimate" dataDxfId="234"/>
    <tableColumn id="24" xr3:uid="{D00CF212-58A7-4A1E-9EAB-1F14AFB8FBB1}" name="2018 CV" dataDxfId="233"/>
    <tableColumn id="25" xr3:uid="{0BCE2968-EA83-4675-AAAC-D7A6367C3A79}" name="2018 CI+/-" dataDxfId="232"/>
    <tableColumn id="26" xr3:uid="{914C4043-5FE0-4B1A-89A3-344B7EC094F5}" name="2017 Estimate" dataDxfId="231"/>
    <tableColumn id="27" xr3:uid="{E31D51F7-586A-491F-810D-8B2CB68CDD9D}" name="2017 CV" dataDxfId="230"/>
    <tableColumn id="28" xr3:uid="{29D2BFDA-4D23-4208-A04A-C3965362E715}" name="2017 CI+/-" dataDxfId="229"/>
    <tableColumn id="29" xr3:uid="{CD47997F-4253-4E23-8C9D-EC3550BF9758}" name="2016 Estimate" dataDxfId="228"/>
    <tableColumn id="30" xr3:uid="{B1B3FBD4-BCCD-462C-AA31-36C9BC91ABEF}" name="2016 CV" dataDxfId="227"/>
    <tableColumn id="31" xr3:uid="{96765512-72D1-4EB0-A7DE-31488E2B5726}" name="2016 CI+/-" dataDxfId="226"/>
    <tableColumn id="32" xr3:uid="{F1EB5263-82CA-4843-9ABD-ACDF1C7EBBA8}" name="2015 Estimate" dataDxfId="225"/>
    <tableColumn id="33" xr3:uid="{315AA193-84FE-4D6E-A526-0947F0AF83CF}" name="2015 CV" dataDxfId="224"/>
    <tableColumn id="34" xr3:uid="{B515185C-8136-454E-917F-8401FA1655BD}" name="2015 CI+/-" dataDxfId="223"/>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E5BC788-B844-4D1E-85C0-5F6629FEA677}" name="London" displayName="London" ref="A13:AH23" totalsRowShown="0" headerRowDxfId="222" headerRowBorderDxfId="221" tableBorderDxfId="220">
  <autoFilter ref="A13:AH23" xr:uid="{9D0E9460-0B5F-4F31-8440-3C3203F1B77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autoFilter>
  <tableColumns count="34">
    <tableColumn id="1" xr3:uid="{72932ACF-C712-4C1F-BCF5-D15E3198572A}" name="Number of households (thousands) [note 1]" dataDxfId="219"/>
    <tableColumn id="2" xr3:uid="{748826B4-141C-420E-9DD3-24A2A8F3BF4B}" name="2025 Estimate" dataDxfId="218" dataCellStyle="Comma"/>
    <tableColumn id="3" xr3:uid="{015C60BA-7880-43E0-A1AE-A1113D5359BB}" name="2025 CV" dataDxfId="217" dataCellStyle="Comma"/>
    <tableColumn id="4" xr3:uid="{0B9C5C1E-391E-403C-8E19-E3EBF63C644F}" name="2025 CI+/-" dataDxfId="216" dataCellStyle="Comma"/>
    <tableColumn id="5" xr3:uid="{037F99F1-7F95-411C-AE85-E14676A57C8E}" name="2024 Estimate" dataDxfId="215"/>
    <tableColumn id="6" xr3:uid="{E7B6064D-75A6-4076-B9AF-B52CB879C742}" name="2024 CV" dataDxfId="214"/>
    <tableColumn id="7" xr3:uid="{66C6DFDD-C223-4114-BD40-5B4404A66C09}" name="2024 CI+/-" dataDxfId="213"/>
    <tableColumn id="8" xr3:uid="{24DE79A1-4D05-46C9-AD98-BB2114304E9D}" name="2023 Estimate" dataDxfId="212"/>
    <tableColumn id="9" xr3:uid="{C1A20F59-F761-487B-8DF3-C178118F31FE}" name="2023 CV" dataDxfId="211"/>
    <tableColumn id="10" xr3:uid="{3783D131-D4C2-4492-9C62-C0FFE73A392E}" name="2023 CI+/-" dataDxfId="210"/>
    <tableColumn id="11" xr3:uid="{BFA7C250-C7F7-405F-B1D8-E3311C0E0AB0}" name="2022 Estimate" dataDxfId="209"/>
    <tableColumn id="12" xr3:uid="{53A0F4CB-951F-48EE-8DFE-355D5E68DAA2}" name="2022 CV" dataDxfId="208"/>
    <tableColumn id="13" xr3:uid="{799BDFED-CAFA-488B-AC1D-67A0887625D7}" name="2022 CI+/-" dataDxfId="207"/>
    <tableColumn id="14" xr3:uid="{E249D3B5-9CA8-4CCA-A07F-7D047D8C82E1}" name="2021 Estimate" dataDxfId="206"/>
    <tableColumn id="15" xr3:uid="{0C2F9D22-95A0-4195-89B4-6EE990324B2C}" name="2021 CV" dataDxfId="205"/>
    <tableColumn id="16" xr3:uid="{426747C8-81A4-4124-B993-DC34AA6DBBAA}" name="2021 CI+/-" dataDxfId="204"/>
    <tableColumn id="17" xr3:uid="{30E6CFA1-37D9-4AF6-83AB-481E7FD7B392}" name="2020 Estimate" dataDxfId="203"/>
    <tableColumn id="18" xr3:uid="{C4BAE968-06D2-4E14-9F3A-D9CB3037031F}" name="2020 CV" dataDxfId="202"/>
    <tableColumn id="19" xr3:uid="{1C0990CF-DD5E-4726-983A-4191664BFDCA}" name="2020 CI+/-" dataDxfId="201"/>
    <tableColumn id="20" xr3:uid="{886E0012-D54C-4D30-8912-BC4DCD6B8415}" name="2019 Estimate" dataDxfId="200"/>
    <tableColumn id="21" xr3:uid="{C62AB469-F030-4B1A-84DE-36344BE725BC}" name="2019 CV" dataDxfId="199"/>
    <tableColumn id="22" xr3:uid="{CCD5CFBD-2A51-4426-A620-D7201DA79A73}" name="2019 CI+/-" dataDxfId="198"/>
    <tableColumn id="23" xr3:uid="{F9EBC825-3EA5-4804-AE0B-FB535BB064D9}" name="2018 Estimate" dataDxfId="197"/>
    <tableColumn id="24" xr3:uid="{8A7C0050-D3E1-4F09-A5D6-482B5A8D2745}" name="2018 CV" dataDxfId="196"/>
    <tableColumn id="25" xr3:uid="{095617CC-95D9-4177-B259-FC4095B33DC2}" name="2018 CI+/-" dataDxfId="195"/>
    <tableColumn id="26" xr3:uid="{9DD7A1D7-DDE4-4178-917C-B86E07F94D37}" name="2017 Estimate" dataDxfId="194"/>
    <tableColumn id="27" xr3:uid="{5391B1C3-74D7-4B7F-A16E-1624C46E075C}" name="2017 CV" dataDxfId="193"/>
    <tableColumn id="28" xr3:uid="{5B4B59BD-C52C-437F-9252-11D81B4C6EEF}" name="2017 CI+/-" dataDxfId="192"/>
    <tableColumn id="29" xr3:uid="{51EBB2F6-83B3-46F6-8E43-A8D5404F982D}" name="2016 Estimate" dataDxfId="191"/>
    <tableColumn id="30" xr3:uid="{D92BCE45-2B4F-4E2E-A57B-D2CB655CF2B2}" name="2016 CV" dataDxfId="190"/>
    <tableColumn id="31" xr3:uid="{4B4A7A3F-7624-4E4B-91C0-C71783BE5276}" name="2016 CI+/-" dataDxfId="189"/>
    <tableColumn id="32" xr3:uid="{73C5232F-6D82-4A28-9790-5275CD62D3E1}" name="2015 Estimate" dataDxfId="188"/>
    <tableColumn id="33" xr3:uid="{07EA8825-3564-4DC8-A4B6-362109901556}" name="2015 CV" dataDxfId="187"/>
    <tableColumn id="34" xr3:uid="{527FE588-EB3F-4699-869D-D6D4F1073E9F}" name="2015 CI+/-" dataDxfId="186"/>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F14B14B-5834-4035-ABC2-78CA7B7201AE}" name="South_East" displayName="South_East" ref="A13:AH23" totalsRowShown="0" headerRowDxfId="185" headerRowBorderDxfId="184" tableBorderDxfId="183">
  <autoFilter ref="A13:AH23" xr:uid="{FBEEA166-F23C-4E2E-A55E-60AD150DB3C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autoFilter>
  <tableColumns count="34">
    <tableColumn id="1" xr3:uid="{AE0D48A9-582F-476E-B407-8E5DCDD402F2}" name="Number of households (thousands) [note 1]"/>
    <tableColumn id="2" xr3:uid="{33B868E3-5A86-4E91-8531-B7AEA2ABCB7F}" name="2025 Estimate" dataDxfId="182" dataCellStyle="Comma"/>
    <tableColumn id="3" xr3:uid="{98866801-64A8-4E17-8EC4-A268638D3930}" name="2025 CV" dataDxfId="181" dataCellStyle="Comma"/>
    <tableColumn id="4" xr3:uid="{0C0606C2-1DFD-4EE3-BD57-26527E9EC836}" name="2025 CI+/-" dataDxfId="180" dataCellStyle="Comma"/>
    <tableColumn id="5" xr3:uid="{360D8BD4-1B13-4954-BA4A-7E06DD462B85}" name="2024 Estimate" dataDxfId="179"/>
    <tableColumn id="6" xr3:uid="{5C19C5C4-DA43-4DE4-9F33-BA6360E1C1EF}" name="2024 CV" dataDxfId="178"/>
    <tableColumn id="7" xr3:uid="{1DF4ABD0-493C-4E2F-AF42-B8C9B75B999A}" name="2024 CI+/-" dataDxfId="177"/>
    <tableColumn id="8" xr3:uid="{F2BDD3B8-04A0-44F8-AE23-998A66FEBF4A}" name="2023 Estimate" dataDxfId="176"/>
    <tableColumn id="9" xr3:uid="{BD7EE9E1-A759-41A3-B6A0-59202E3A10C9}" name="2023 CV" dataDxfId="175"/>
    <tableColumn id="10" xr3:uid="{C640A85D-DC72-438D-AE32-400F662D75FF}" name="2023 CI+/-" dataDxfId="174"/>
    <tableColumn id="11" xr3:uid="{D284FA5B-0742-4AF3-BF90-883231FE424B}" name="2022 Estimate" dataDxfId="173"/>
    <tableColumn id="12" xr3:uid="{F7613FBA-DBD7-42B6-8DA9-A91AE471933D}" name="2022 CV" dataDxfId="172"/>
    <tableColumn id="13" xr3:uid="{D8CF8CDC-4988-44C0-BAC4-972F1B581F07}" name="2022 CI+/-" dataDxfId="171"/>
    <tableColumn id="14" xr3:uid="{69090827-AA31-483A-AAC7-3F40EE3A506D}" name="2021 Estimate" dataDxfId="170"/>
    <tableColumn id="15" xr3:uid="{687D67C6-E193-4E0E-B3CA-9BBC5462DEFE}" name="2021 CV" dataDxfId="169"/>
    <tableColumn id="16" xr3:uid="{A19B0D73-3065-4401-8982-CEDE5AB0D1D0}" name="2021 CI+/-" dataDxfId="168"/>
    <tableColumn id="17" xr3:uid="{1E82F16A-6362-4065-B8C3-047A5E82A852}" name="2020 Estimate" dataDxfId="167"/>
    <tableColumn id="18" xr3:uid="{0100E06A-28B1-40C8-8BE2-EDCAC4131B16}" name="2020 CV" dataDxfId="166"/>
    <tableColumn id="19" xr3:uid="{72539B70-3AA8-4147-830C-A68F645B09DC}" name="2020 CI+/-" dataDxfId="165"/>
    <tableColumn id="20" xr3:uid="{6E991F96-6414-4F09-8D18-873F0A560D24}" name="2019 Estimate" dataDxfId="164"/>
    <tableColumn id="21" xr3:uid="{C702703E-A9D0-426E-BFFD-717199A24CF2}" name="2019 CV" dataDxfId="163"/>
    <tableColumn id="22" xr3:uid="{EB7FF8CD-A55F-4684-A43A-B547C547176E}" name="2019 CI+/-" dataDxfId="162"/>
    <tableColumn id="23" xr3:uid="{56690A09-05C9-4094-AB62-660A98EA9856}" name="2018 Estimate" dataDxfId="161"/>
    <tableColumn id="24" xr3:uid="{7F8B6035-56D6-4464-9D2D-CF96327D1925}" name="2018 CV" dataDxfId="160"/>
    <tableColumn id="25" xr3:uid="{636F2BB4-E8EF-4261-9699-A2319BF5BC66}" name="2018 CI+/-" dataDxfId="159"/>
    <tableColumn id="26" xr3:uid="{2E9CC316-5656-4AA0-AE54-40EC86D79B5C}" name="2017 Estimate" dataDxfId="158"/>
    <tableColumn id="27" xr3:uid="{F9ED2E39-E1AE-4540-99F5-0F82FB8CF149}" name="2017 CV" dataDxfId="157"/>
    <tableColumn id="28" xr3:uid="{B9276D65-F91E-40AD-A072-7C3F4110D516}" name="2017 CI+/-" dataDxfId="156"/>
    <tableColumn id="29" xr3:uid="{BB2D9472-1C51-4181-A7D6-35D83B3458EE}" name="2016 Estimate" dataDxfId="155"/>
    <tableColumn id="30" xr3:uid="{839C9F98-249E-4DC3-97FE-21C9DA133FEE}" name="2016 CV" dataDxfId="154"/>
    <tableColumn id="31" xr3:uid="{2BA73F56-0A2C-43AE-A81C-16D616117D50}" name="2016 CI+/-" dataDxfId="153"/>
    <tableColumn id="32" xr3:uid="{DC5A52AC-1821-47DA-A975-8CD9DDB23B36}" name="2015 Estimate" dataDxfId="152"/>
    <tableColumn id="33" xr3:uid="{FD6EF0E0-92D3-4180-A150-7489DED9824F}" name="2015 CV" dataDxfId="151"/>
    <tableColumn id="34" xr3:uid="{F4D92F70-C46C-478B-A95D-CA349C046152}" name="2015 CI+/-" dataDxfId="150"/>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F0CACAE-6D42-4709-9160-7BEF74827324}" name="South_West" displayName="South_West" ref="A13:AH23" totalsRowShown="0" headerRowDxfId="149" headerRowBorderDxfId="148" tableBorderDxfId="147">
  <autoFilter ref="A13:AH23" xr:uid="{8A8D5679-C66C-469B-8413-23CB87FCD9E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autoFilter>
  <tableColumns count="34">
    <tableColumn id="1" xr3:uid="{AC2620B8-568F-4239-B800-ABEDD095DA47}" name="Number of households (thousands) [note 1]"/>
    <tableColumn id="2" xr3:uid="{068EEF1B-F578-45A1-98A5-316A12D4024E}" name="2025 Estimate" dataDxfId="146" dataCellStyle="Comma"/>
    <tableColumn id="3" xr3:uid="{B36AA5B9-AE43-457B-82E7-8AE01212C43A}" name="2025 CV" dataDxfId="145" dataCellStyle="Comma"/>
    <tableColumn id="4" xr3:uid="{70B21BE1-889A-4171-B668-2113418F1D14}" name="2025 CI+/-" dataDxfId="144" dataCellStyle="Comma"/>
    <tableColumn id="5" xr3:uid="{1956DD12-A325-4F96-9EDD-684ABA0E0868}" name="2024 Estimate" dataDxfId="143"/>
    <tableColumn id="6" xr3:uid="{51716E48-17E4-4584-A45D-E204A631B27B}" name="2024 CV" dataDxfId="142"/>
    <tableColumn id="7" xr3:uid="{F157A585-D400-48AE-A2A0-67936128FD74}" name="2024 CI+/-" dataDxfId="141"/>
    <tableColumn id="8" xr3:uid="{21BA67A8-93AA-4DAD-93A8-FDA4DC2AB371}" name="2023 Estimate" dataDxfId="140"/>
    <tableColumn id="9" xr3:uid="{F2E6A2FF-B306-4FE1-B76D-2C71ACF27F7D}" name="2023 CV" dataDxfId="139"/>
    <tableColumn id="10" xr3:uid="{1580D078-AD57-4028-8BE2-4333CDCF7224}" name="2023 CI+/-" dataDxfId="138"/>
    <tableColumn id="11" xr3:uid="{F7B3A988-A4F2-4E4C-867D-1DD16A6EEE63}" name="2022 Estimate" dataDxfId="137"/>
    <tableColumn id="12" xr3:uid="{0E207E3D-E2CC-447D-A073-DBEA8F0BFD36}" name="2022 CV" dataDxfId="136"/>
    <tableColumn id="13" xr3:uid="{B5287F24-55A8-456D-9197-669638BC5EF5}" name="2022 CI+/-" dataDxfId="135"/>
    <tableColumn id="14" xr3:uid="{5AA583F3-0270-4795-8286-2ABD01FC4130}" name="2021 Estimate" dataDxfId="134"/>
    <tableColumn id="15" xr3:uid="{51BBBCC3-B4E1-4C6E-BDD8-C9D78A75657F}" name="2021 CV" dataDxfId="133"/>
    <tableColumn id="16" xr3:uid="{4F5A273C-9DC5-4B42-B744-DF32F1939249}" name="2021 CI+/-" dataDxfId="132"/>
    <tableColumn id="17" xr3:uid="{26144E49-8388-4AD3-9C04-81DA76A54029}" name="2020 Estimate" dataDxfId="131"/>
    <tableColumn id="18" xr3:uid="{425BB930-9C7D-4A63-856C-3C3AC05A0754}" name="2020 CV" dataDxfId="130"/>
    <tableColumn id="19" xr3:uid="{6CC224C3-9A39-40E7-905D-8B7A1301520C}" name="2020 CI+/-" dataDxfId="129"/>
    <tableColumn id="20" xr3:uid="{86FF1CA8-0B8D-4650-BC42-8DE3247D5539}" name="2019 Estimate" dataDxfId="128"/>
    <tableColumn id="21" xr3:uid="{9D1DF60B-1229-4501-95D6-8DFC4BC17F21}" name="2019 CV" dataDxfId="127"/>
    <tableColumn id="22" xr3:uid="{DD2186A2-E23E-45A5-AE0D-D00AA83A8B2D}" name="2019 CI+/-" dataDxfId="126"/>
    <tableColumn id="23" xr3:uid="{291A62C1-A1B3-430D-AB21-55F89486A99B}" name="2018 Estimate" dataDxfId="125"/>
    <tableColumn id="24" xr3:uid="{FA28DF71-184F-4320-85F8-1052D4A391A9}" name="2018 CV" dataDxfId="124"/>
    <tableColumn id="25" xr3:uid="{0CEA9BCD-D567-4B5D-90F7-7681FA8F8FBD}" name="2018 CI+/-" dataDxfId="123"/>
    <tableColumn id="26" xr3:uid="{C8A7CC07-ECD6-4530-A4E7-D6C3391FFDF9}" name="2017 Estimate" dataDxfId="122"/>
    <tableColumn id="27" xr3:uid="{12E35EBA-4038-459C-83D9-3184B2309A36}" name="2017 CV" dataDxfId="121"/>
    <tableColumn id="28" xr3:uid="{FEBD5D90-02CE-481C-94FE-63A157AB023D}" name="2017 CI+/-" dataDxfId="120"/>
    <tableColumn id="29" xr3:uid="{9D233AF6-ADEA-47F8-948E-F558A9C51350}" name="2016 Estimate" dataDxfId="119"/>
    <tableColumn id="30" xr3:uid="{1F82CA6A-1ED9-4E71-B939-C025A81C47DD}" name="2016 CV" dataDxfId="118"/>
    <tableColumn id="31" xr3:uid="{47360055-43DC-49B7-AA88-CFC56BF6986F}" name="2016 CI+/-" dataDxfId="117"/>
    <tableColumn id="32" xr3:uid="{71B9036E-D345-4000-B890-DEBD197E51F2}" name="2015 Estimate" dataDxfId="116"/>
    <tableColumn id="33" xr3:uid="{3D925BE6-EF80-4FE6-BEA4-44116CAE4BD2}" name="2015 CV" dataDxfId="115"/>
    <tableColumn id="34" xr3:uid="{6AE2E69D-8DD2-4C30-A0F0-817142E5BA03}" name="2015 CI+/-" dataDxfId="114"/>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CE3B37D-BC33-4DBA-ACC5-069C02424F4A}" name="England" displayName="England" ref="A13:AH23" totalsRowShown="0" headerRowDxfId="113" headerRowBorderDxfId="112" tableBorderDxfId="111">
  <autoFilter ref="A13:AH23" xr:uid="{F73FC5A8-DB0E-4AF4-B7A1-AFA32B488B4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autoFilter>
  <tableColumns count="34">
    <tableColumn id="1" xr3:uid="{FEDFFA26-4137-4942-8244-8A3360A28683}" name="Number of households (thousands) [note 1]"/>
    <tableColumn id="2" xr3:uid="{0C3667F5-20DC-4441-A860-CE75D169783C}" name="2025 Estimate" dataDxfId="110" dataCellStyle="Comma"/>
    <tableColumn id="3" xr3:uid="{C4901831-A75C-46EC-98CC-F8A1E2ECD586}" name="2025 CV" dataDxfId="109" dataCellStyle="Comma"/>
    <tableColumn id="4" xr3:uid="{1CF299AA-76C6-43A8-B09F-839B37CB6EC9}" name="2025 CI+/-" dataDxfId="108" dataCellStyle="Comma"/>
    <tableColumn id="5" xr3:uid="{E3BFC2D1-1E51-4D22-A6CC-302BE55C6B10}" name="2024 Estimate" dataDxfId="107"/>
    <tableColumn id="6" xr3:uid="{9F2C3625-6BFD-45E7-860F-9FA038BD5470}" name="2024 CV" dataDxfId="106"/>
    <tableColumn id="7" xr3:uid="{8AB2DA1C-B856-4F59-8A14-359CEBD6EFCA}" name="2024 CI+/-" dataDxfId="105"/>
    <tableColumn id="8" xr3:uid="{FE432742-C22D-40CC-B3B3-643B28E843C0}" name="2023 Estimate" dataDxfId="104"/>
    <tableColumn id="9" xr3:uid="{7A2E259A-C81B-4F47-B361-9FFDC86639C7}" name="2023 CV" dataDxfId="103"/>
    <tableColumn id="10" xr3:uid="{E247DF34-3DBB-47BA-BD88-7E9067C3B6CF}" name="2023 CI+/-" dataDxfId="102"/>
    <tableColumn id="11" xr3:uid="{07FFC14C-DCD0-40D5-A382-A5539DAAB0D0}" name="2022 Estimate" dataDxfId="101"/>
    <tableColumn id="12" xr3:uid="{72FB3CDD-C9A8-4E49-AD49-2F7008527A28}" name="2022 CV" dataDxfId="100"/>
    <tableColumn id="13" xr3:uid="{4468D86D-2C26-4DE7-9DCF-57309361CFD8}" name="2022 CI+/-" dataDxfId="99"/>
    <tableColumn id="14" xr3:uid="{5AEE0EE3-0C62-41D2-982E-C65CFABD01A6}" name="2021 Estimate" dataDxfId="98"/>
    <tableColumn id="15" xr3:uid="{7B2A9C08-2252-47EA-B7E8-48CA5EF24349}" name="2021 CV" dataDxfId="97"/>
    <tableColumn id="16" xr3:uid="{DF050446-014A-4CAD-B55D-D082B2C93CC7}" name="2021 CI+/-" dataDxfId="96"/>
    <tableColumn id="17" xr3:uid="{5CB8EE5E-7A20-40D0-BA43-0CF3FFB7C862}" name="2020 Estimate" dataDxfId="95"/>
    <tableColumn id="18" xr3:uid="{B2608D2B-AE96-4C06-B3BD-BD12C79D2A49}" name="2020 CV" dataDxfId="94"/>
    <tableColumn id="19" xr3:uid="{C4E2795A-A5AA-4000-9BD8-035C8D9F9EF6}" name="2020 CI+/-" dataDxfId="93"/>
    <tableColumn id="20" xr3:uid="{05B7ADA7-DB36-48F3-848E-21998DBAF3D7}" name="2019 Estimate" dataDxfId="92"/>
    <tableColumn id="21" xr3:uid="{C682B858-5E25-439F-BFBF-24D5347C7D57}" name="2019 CV" dataDxfId="91"/>
    <tableColumn id="22" xr3:uid="{2F0187D1-C94A-42CA-8795-38B6F44FD638}" name="2019 CI+/-" dataDxfId="90"/>
    <tableColumn id="23" xr3:uid="{C03F1C07-049B-4D39-91F7-936EDBD3AF1A}" name="2018 Estimate" dataDxfId="89"/>
    <tableColumn id="24" xr3:uid="{D6E8DACE-A02D-4F40-B60B-14B0F92AACB0}" name="2018 CV" dataDxfId="88"/>
    <tableColumn id="25" xr3:uid="{4432FCAE-A5BC-4E54-9A5E-2E9A2A2EA79E}" name="2018 CI+/-" dataDxfId="87"/>
    <tableColumn id="26" xr3:uid="{23208E87-20B1-43A9-9D63-2E3E0D07B79F}" name="2017 Estimate" dataDxfId="86"/>
    <tableColumn id="27" xr3:uid="{FBDB8062-D8B2-4FA3-820B-99E53457406E}" name="2017 CV" dataDxfId="85"/>
    <tableColumn id="28" xr3:uid="{5D9AFDC4-F9E7-4E54-9EA6-B56D31443C64}" name="2017 CI+/-" dataDxfId="84"/>
    <tableColumn id="29" xr3:uid="{FD19055E-2AF1-4C3A-A37F-6799A49EA152}" name="2016 Estimate" dataDxfId="83"/>
    <tableColumn id="30" xr3:uid="{0E821332-7668-4D74-BDEB-A3B39E07FE14}" name="2016 CV" dataDxfId="82"/>
    <tableColumn id="31" xr3:uid="{2217AE8A-CE01-469D-AF08-42BBAEBD478F}" name="2016 CI+/-" dataDxfId="81"/>
    <tableColumn id="32" xr3:uid="{75807218-876B-4A14-9F3F-01700B18DF15}" name="2015 Estimate" dataDxfId="80"/>
    <tableColumn id="33" xr3:uid="{D829FE01-AE0A-4EF1-9E14-A1ADDA6B33C7}" name="2015 CV" dataDxfId="79"/>
    <tableColumn id="34" xr3:uid="{E846B3E1-5632-405B-B79E-C644A82C5212}" name="2015 CI+/-" dataDxfId="78"/>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A80B87E-50F8-4154-B5BA-A39864EC5BB6}" name="Wales" displayName="Wales" ref="A13:AH23" totalsRowShown="0" headerRowDxfId="77" headerRowBorderDxfId="76" tableBorderDxfId="75">
  <autoFilter ref="A13:AH23" xr:uid="{F04B79DB-ADE4-4D06-AF83-81D7B240D6C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autoFilter>
  <tableColumns count="34">
    <tableColumn id="1" xr3:uid="{4F531CDF-6835-4281-A24A-FAD898515A8F}" name="Number of households (thousands) [note 1]"/>
    <tableColumn id="2" xr3:uid="{46459DB7-19E6-4E71-BEF9-53E8A8D11CEE}" name="2025 Estimate" dataDxfId="74"/>
    <tableColumn id="3" xr3:uid="{3E5C2110-F8EF-485F-9ED7-E292F32D8426}" name="2025 CV" dataDxfId="73"/>
    <tableColumn id="4" xr3:uid="{B4058EBC-66DD-4BBD-AF25-BCAEE271BEDB}" name="2025 CI+/-" dataDxfId="72"/>
    <tableColumn id="5" xr3:uid="{44FA4AA6-8288-4A96-A832-AC034288F848}" name="2024 Estimate" dataDxfId="71"/>
    <tableColumn id="6" xr3:uid="{51FC85F4-183C-4482-80D5-49FBB6914726}" name="2024 CV" dataDxfId="70"/>
    <tableColumn id="7" xr3:uid="{5E7ECE7D-5D22-4ACE-B88B-1C41328F725D}" name="2024 CI+/-" dataDxfId="69"/>
    <tableColumn id="8" xr3:uid="{034D9D2D-6CCF-456A-9198-0EF3E1DEA330}" name="2023 Estimate" dataDxfId="68"/>
    <tableColumn id="9" xr3:uid="{3FB399F2-C7EA-40C3-85C1-A4802CA20E0C}" name="2023 CV" dataDxfId="67"/>
    <tableColumn id="10" xr3:uid="{6FCD096F-0A5D-4DA4-9537-0E16B57BA129}" name="2023 CI+/-" dataDxfId="66"/>
    <tableColumn id="11" xr3:uid="{8B7D6F2B-5F3E-4B99-90A3-419519AF805B}" name="2022 Estimate" dataDxfId="65"/>
    <tableColumn id="12" xr3:uid="{900EB2FC-2639-4F7E-B729-3C9A5D535708}" name="2022 CV" dataDxfId="64"/>
    <tableColumn id="13" xr3:uid="{D578710C-3F60-4D15-9A89-0E4E8B1D4420}" name="2022 CI+/-" dataDxfId="63"/>
    <tableColumn id="14" xr3:uid="{85D40EEC-0890-40C4-A531-1D7210B87251}" name="2021 Estimate" dataDxfId="62"/>
    <tableColumn id="15" xr3:uid="{07D527DC-3A58-4006-B027-9096C203A10B}" name="2021 CV" dataDxfId="61"/>
    <tableColumn id="16" xr3:uid="{12CB00ED-A22B-474C-A0AA-C4B1B8136778}" name="2021 CI+/-" dataDxfId="60"/>
    <tableColumn id="17" xr3:uid="{D7C25F15-AFAF-4FD1-93DE-A433609C8985}" name="2020 Estimate" dataDxfId="59"/>
    <tableColumn id="18" xr3:uid="{CED2BCF1-F992-4F62-8BE0-F9EFD220B192}" name="2020 CV" dataDxfId="58"/>
    <tableColumn id="19" xr3:uid="{0774A5D5-EDBB-4857-A5A4-FCA9A341180A}" name="2020 CI+/-" dataDxfId="57"/>
    <tableColumn id="20" xr3:uid="{253A41B2-BCC1-4F2E-B43D-AED56C112F2A}" name="2019 Estimate" dataDxfId="56"/>
    <tableColumn id="21" xr3:uid="{FCCDDA6C-6122-4D70-815A-863536D58945}" name="2019 CV" dataDxfId="55"/>
    <tableColumn id="22" xr3:uid="{067C5387-5692-4237-88C8-B6383BA71623}" name="2019 CI+/-" dataDxfId="54"/>
    <tableColumn id="23" xr3:uid="{9623857D-42C0-4A76-8EAF-FC408FF60DF9}" name="2018 Estimate" dataDxfId="53"/>
    <tableColumn id="24" xr3:uid="{CA6C72B5-1AE4-49BE-8274-351FDF1A58FF}" name="2018 CV" dataDxfId="52"/>
    <tableColumn id="25" xr3:uid="{469226E5-EDD0-44E1-9C5F-2F844E78EBAA}" name="2018 CI+/-" dataDxfId="51"/>
    <tableColumn id="26" xr3:uid="{CD835155-D15D-4BA0-B62F-4EEEE59048D3}" name="2017 Estimate" dataDxfId="50"/>
    <tableColumn id="27" xr3:uid="{A7EBE6EF-49B6-4F46-8E92-C3349E2B9D2F}" name="2017 CV" dataDxfId="49"/>
    <tableColumn id="28" xr3:uid="{C3833EEE-954E-4097-8552-D3C670BE522B}" name="2017 CI+/-" dataDxfId="48"/>
    <tableColumn id="29" xr3:uid="{2BDB687B-1F1C-4BE7-A6D9-BE885BC9A501}" name="2016 Estimate" dataDxfId="47"/>
    <tableColumn id="30" xr3:uid="{9F27ECDF-3FAA-49AA-82D3-5076F08CA50C}" name="2016 CV" dataDxfId="46"/>
    <tableColumn id="31" xr3:uid="{90F1F484-F635-4C97-80FC-FDF34D4BFF2F}" name="2016 CI+/-" dataDxfId="45"/>
    <tableColumn id="32" xr3:uid="{237744F4-4B10-41FE-BE06-7A20C34F0380}" name="2015 Estimate" dataDxfId="44"/>
    <tableColumn id="33" xr3:uid="{31156C99-3989-4FC6-9C7F-6E2B5C740D11}" name="2015 CV" dataDxfId="43"/>
    <tableColumn id="34" xr3:uid="{A6527D22-60A1-4CA0-A35E-D286DB1CC8CB}" name="2015 CI+/-" dataDxfId="42"/>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27860D3-BC84-432A-9D36-B3B8C9137DA6}" name="Scotland" displayName="Scotland" ref="A13:AH23" totalsRowShown="0" headerRowDxfId="41" headerRowBorderDxfId="40" tableBorderDxfId="39">
  <autoFilter ref="A13:AH23" xr:uid="{EA2C91CC-12A3-4380-9385-D35C97BED77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autoFilter>
  <tableColumns count="34">
    <tableColumn id="1" xr3:uid="{307EA359-C320-4DB6-B99B-640F058A1EDF}" name="Number of households (thousands) [note 1]"/>
    <tableColumn id="2" xr3:uid="{2E69B03A-903C-430D-B7DC-E849AF1E6A19}" name="2025 Estimate" dataDxfId="38"/>
    <tableColumn id="3" xr3:uid="{F155DBD7-F14F-489D-87DC-55C953B9F7CA}" name="2025 CV" dataDxfId="37"/>
    <tableColumn id="5" xr3:uid="{9ACAE5A3-5DF7-40F2-9D34-BE5C66C30B02}" name="2025 CI+/-" dataDxfId="36"/>
    <tableColumn id="4" xr3:uid="{20093926-6D0F-4393-B54A-4D47A39F0B21}" name="2024 Estimate" dataDxfId="35"/>
    <tableColumn id="6" xr3:uid="{7F70D1C2-313D-4C04-ACD0-1F8EE58CDD7B}" name="2024 CV" dataDxfId="34"/>
    <tableColumn id="7" xr3:uid="{9E2356A7-3D5D-44D9-A11D-3AEA8B11EBC0}" name="2024 CI+/-" dataDxfId="33"/>
    <tableColumn id="8" xr3:uid="{7E3E06CC-EF19-4E06-959C-07DA0E354BA8}" name="2023 Estimate" dataDxfId="32"/>
    <tableColumn id="9" xr3:uid="{57212BCE-407E-48EB-95D8-6F28593B3FFD}" name="2023 CV" dataDxfId="31"/>
    <tableColumn id="10" xr3:uid="{3A09E2EC-AB8F-47F0-B28E-F047C7981852}" name="2023 CI+/-" dataDxfId="30"/>
    <tableColumn id="11" xr3:uid="{F5EFE753-BA70-49BD-A316-5C5049423255}" name="2022 Estimate" dataDxfId="29"/>
    <tableColumn id="12" xr3:uid="{45444AA8-4ED6-419D-B0F8-B0CB203D0D44}" name="2022 CV" dataDxfId="28"/>
    <tableColumn id="13" xr3:uid="{AA59C0F5-8E56-42CE-82EE-7E51494197D9}" name="2022 CI+/-" dataDxfId="27"/>
    <tableColumn id="14" xr3:uid="{441FB301-B765-414D-A10C-6C0680D18413}" name="2021 Estimate" dataDxfId="26"/>
    <tableColumn id="15" xr3:uid="{C4B3B6D9-A471-42F8-9044-1C8A91B2DD72}" name="2021 CV" dataDxfId="25"/>
    <tableColumn id="16" xr3:uid="{E1A674B3-DD76-4BCD-BE53-FBC09CEDEE1C}" name="2021 CI+/-" dataDxfId="24"/>
    <tableColumn id="17" xr3:uid="{16807B2E-EE67-4778-89C1-F4772B36BD4B}" name="2020 Estimate" dataDxfId="23"/>
    <tableColumn id="18" xr3:uid="{504F267C-1E81-4402-B72C-18028FD4A7C4}" name="2020 CV" dataDxfId="22"/>
    <tableColumn id="19" xr3:uid="{03C4E8AD-9ED9-4F10-A26C-B6CB9D8A63E0}" name="2020 CI+/-" dataDxfId="21"/>
    <tableColumn id="20" xr3:uid="{FC3BA628-0DC1-4C64-BB42-79980B365D3A}" name="2019 Estimate" dataDxfId="20"/>
    <tableColumn id="21" xr3:uid="{BEE68B91-579E-405F-9ACB-BD883287AC0F}" name="2019 CV" dataDxfId="19"/>
    <tableColumn id="22" xr3:uid="{E7E6ADA8-E88C-4411-B358-03F014AC93F4}" name="2019 CI+/-" dataDxfId="18"/>
    <tableColumn id="23" xr3:uid="{B9062E9E-723A-427F-844C-402ED58F811D}" name="2018 Estimate" dataDxfId="17"/>
    <tableColumn id="24" xr3:uid="{18855755-2E16-4F5D-A80E-0E6E49B49FAF}" name="2018 CV" dataDxfId="16"/>
    <tableColumn id="25" xr3:uid="{C13A84DE-A5BE-4541-9090-F334FD1B845A}" name="2018 CI+/-" dataDxfId="15"/>
    <tableColumn id="26" xr3:uid="{73C9AC30-0EC5-4B15-85E0-615A8D1D4D43}" name="2017 Estimate" dataDxfId="14"/>
    <tableColumn id="27" xr3:uid="{2460E81C-AE6B-4B1A-AE2C-4C9A877F2FBB}" name="2017 CV" dataDxfId="13"/>
    <tableColumn id="28" xr3:uid="{5C339DED-7BD2-4CE3-B2D6-1312C4ABDD32}" name="2017 CI+/-" dataDxfId="12"/>
    <tableColumn id="29" xr3:uid="{73EB8C2A-61C9-4D85-9B48-D91A23C28655}" name="2016 Estimate" dataDxfId="11"/>
    <tableColumn id="30" xr3:uid="{DC016298-8ADC-44D9-BA37-48DE025254C3}" name="2016 CV" dataDxfId="10"/>
    <tableColumn id="31" xr3:uid="{E53C5243-9B26-43A4-907E-3A22065073E3}" name="2016 CI+/-" dataDxfId="9"/>
    <tableColumn id="32" xr3:uid="{AE5D0662-740D-4CB4-8921-A8161354029F}" name="2015 Estimate" dataDxfId="8"/>
    <tableColumn id="33" xr3:uid="{48E14612-8513-4650-A6BF-F377B462C644}" name="2015 CV" dataDxfId="7"/>
    <tableColumn id="34" xr3:uid="{9440D224-56AD-47F0-B16E-0EA1B7D0172F}" name="2015 CI+/-" dataDxfId="6"/>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nationalarchives.gov.uk/doc/open-government-licence/version/3/" TargetMode="External"/><Relationship Id="rId3" Type="http://schemas.openxmlformats.org/officeDocument/2006/relationships/hyperlink" Target="mailto:pop.info@ons.gov.uk" TargetMode="External"/><Relationship Id="rId7" Type="http://schemas.openxmlformats.org/officeDocument/2006/relationships/hyperlink" Target="mailto:pop.info@ons.gov.uk" TargetMode="External"/><Relationship Id="rId12" Type="http://schemas.openxmlformats.org/officeDocument/2006/relationships/table" Target="../tables/table1.xml"/><Relationship Id="rId2" Type="http://schemas.openxmlformats.org/officeDocument/2006/relationships/hyperlink" Target="mailto:pop.info@ons.gov.uk" TargetMode="External"/><Relationship Id="rId1" Type="http://schemas.openxmlformats.org/officeDocument/2006/relationships/hyperlink" Target="mailto:pop.info@ons.gov.uk" TargetMode="External"/><Relationship Id="rId6" Type="http://schemas.openxmlformats.org/officeDocument/2006/relationships/hyperlink" Target="http://www.ons.gov.uk/" TargetMode="External"/><Relationship Id="rId11" Type="http://schemas.openxmlformats.org/officeDocument/2006/relationships/hyperlink" Target="https://www.nisra.gov.uk/statistics/population/household-projections" TargetMode="External"/><Relationship Id="rId5" Type="http://schemas.openxmlformats.org/officeDocument/2006/relationships/hyperlink" Target="mailto:psi@nationalarchives.gov.uk" TargetMode="External"/><Relationship Id="rId10" Type="http://schemas.openxmlformats.org/officeDocument/2006/relationships/hyperlink" Target="https://www.gov.wales/household-estimates" TargetMode="External"/><Relationship Id="rId4" Type="http://schemas.openxmlformats.org/officeDocument/2006/relationships/hyperlink" Target="https://www.ons.gov.uk/peoplepopulationandcommunity/birthsdeathsandmarriages/families/methodologies/familiesandhouseholdsqmi" TargetMode="External"/><Relationship Id="rId9" Type="http://schemas.openxmlformats.org/officeDocument/2006/relationships/hyperlink" Target="https://www.nrscotland.gov.uk/publications/households-and-dwellings-in-scotland-2024/"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s://www.ons.gov.uk/methodology/methodologytopicsandstatisticalconcepts/uncertaintyandhowwemeasureit"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blog.ons.gov.uk/2021/01/25/understanding-how-the-pandemic-population/" TargetMode="External"/><Relationship Id="rId2" Type="http://schemas.openxmlformats.org/officeDocument/2006/relationships/hyperlink" Target="https://blog.ons.gov.uk/2020/10/12/measuring-the-labour-market-during-the-pandemic/" TargetMode="External"/><Relationship Id="rId1" Type="http://schemas.openxmlformats.org/officeDocument/2006/relationships/hyperlink" Target="https://www.ons.gov.uk/employmentandlabourmarket/peopleinwork/employmentandemployeetypes/articles/coronavirusanditsimpactonthelabourforcesurvey/2020-10-13" TargetMode="External"/><Relationship Id="rId5" Type="http://schemas.openxmlformats.org/officeDocument/2006/relationships/hyperlink" Target="https://www.ons.gov.uk/employmentandlabourmarket/peopleinwork/employmentandemployeetypes/articles/impactofreweightingonlabourforcesurveykeyindicators/2022" TargetMode="External"/><Relationship Id="rId4" Type="http://schemas.openxmlformats.org/officeDocument/2006/relationships/hyperlink" Target="https://www.ons.gov.uk/employmentandlabourmarket/peopleinwork/employmentandemployeetypes/datasets/x08impactoflfstenurereweightingonkeylabourforcesurveyindicators"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families@ons.gov.uk?subject=Householdsizebyregionstable%20Table%201-This%20isn't%20what%20I%20need" TargetMode="External"/><Relationship Id="rId2" Type="http://schemas.openxmlformats.org/officeDocument/2006/relationships/hyperlink" Target="mailto:families@ons.gov.uk?subject=Householdsizebyregionstable%20Table%201-I%20need%20something%20different" TargetMode="External"/><Relationship Id="rId1" Type="http://schemas.openxmlformats.org/officeDocument/2006/relationships/hyperlink" Target="mailto:families@ons.gov.uk?subject=Householdsizebyregionstable%20Table%201-meets%20my%20needs" TargetMode="Externa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hyperlink" Target="mailto:families@ons.gov.uk?subject=Householdsizebyregionstable%20Table%202-This%20isn't%20what%20I%20need" TargetMode="External"/><Relationship Id="rId2" Type="http://schemas.openxmlformats.org/officeDocument/2006/relationships/hyperlink" Target="mailto:families@ons.gov.uk?subject=Householdsizebyregionstable%20Table%202-I%20need%20something%20different" TargetMode="External"/><Relationship Id="rId1" Type="http://schemas.openxmlformats.org/officeDocument/2006/relationships/hyperlink" Target="mailto:families@ons.gov.uk?subject=Householdsizebyregionstable%20Table%202-meets%20my%20needs" TargetMode="External"/><Relationship Id="rId4"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openxmlformats.org/officeDocument/2006/relationships/hyperlink" Target="mailto:families@ons.gov.uk?subject=Householdsizebyregionstable%20Table%203-This%20isn't%20what%20I%20need" TargetMode="External"/><Relationship Id="rId2" Type="http://schemas.openxmlformats.org/officeDocument/2006/relationships/hyperlink" Target="mailto:families@ons.gov.uk?subject=Householdsizebyregionstable%20Table%203-I%20need%20something%20different" TargetMode="External"/><Relationship Id="rId1" Type="http://schemas.openxmlformats.org/officeDocument/2006/relationships/hyperlink" Target="mailto:families@ons.gov.uk?subject=Householdsizebyregionstable%20Table%203-meets%20my%20needs" TargetMode="External"/><Relationship Id="rId4" Type="http://schemas.openxmlformats.org/officeDocument/2006/relationships/table" Target="../tables/table6.xml"/></Relationships>
</file>

<file path=xl/worksheets/_rels/sheet8.xml.rels><?xml version="1.0" encoding="UTF-8" standalone="yes"?>
<Relationships xmlns="http://schemas.openxmlformats.org/package/2006/relationships"><Relationship Id="rId3" Type="http://schemas.openxmlformats.org/officeDocument/2006/relationships/hyperlink" Target="mailto:families@ons.gov.uk?subject=Householdsizebyregionstable%20Table%204-This%20isn't%20what%20I%20need" TargetMode="External"/><Relationship Id="rId2" Type="http://schemas.openxmlformats.org/officeDocument/2006/relationships/hyperlink" Target="mailto:families@ons.gov.uk?subject=Householdsizebyregionstable%20Table%204-I%20need%20something%20different" TargetMode="External"/><Relationship Id="rId1" Type="http://schemas.openxmlformats.org/officeDocument/2006/relationships/hyperlink" Target="mailto:families@ons.gov.uk?subject=Householdsizebyregionstable%20Table%204-meets%20my%20needs" TargetMode="External"/><Relationship Id="rId4"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openxmlformats.org/officeDocument/2006/relationships/hyperlink" Target="mailto:families@ons.gov.uk?subject=Householdsizebyregionstable%20Table%205-This%20isn't%20what%20I%20need" TargetMode="External"/><Relationship Id="rId2" Type="http://schemas.openxmlformats.org/officeDocument/2006/relationships/hyperlink" Target="mailto:families@ons.gov.uk?subject=Householdsizebyregionstable%20Table%205-I%20need%20something%20different" TargetMode="External"/><Relationship Id="rId1" Type="http://schemas.openxmlformats.org/officeDocument/2006/relationships/hyperlink" Target="mailto:families@ons.gov.uk?subject=Householdsizebyregionstable%20Table%205-meets%20my%20needs" TargetMode="External"/><Relationship Id="rId4"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3" Type="http://schemas.openxmlformats.org/officeDocument/2006/relationships/hyperlink" Target="mailto:families@ons.gov.uk?subject=Householdsizebyregionstable%20Table%206-This%20isn't%20what%20I%20need" TargetMode="External"/><Relationship Id="rId2" Type="http://schemas.openxmlformats.org/officeDocument/2006/relationships/hyperlink" Target="mailto:families@ons.gov.uk?subject=Householdsizebyregionstable%20Table%206-I%20need%20something%20different" TargetMode="External"/><Relationship Id="rId1" Type="http://schemas.openxmlformats.org/officeDocument/2006/relationships/hyperlink" Target="mailto:families@ons.gov.uk?subject=Householdsizebyregionstable%20Table%206-meets%20my%20needs" TargetMode="External"/><Relationship Id="rId4"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3" Type="http://schemas.openxmlformats.org/officeDocument/2006/relationships/hyperlink" Target="mailto:families@ons.gov.uk?subject=Householdsizebyregionstable%20Table%207-This%20isn't%20what%20I%20need" TargetMode="External"/><Relationship Id="rId2" Type="http://schemas.openxmlformats.org/officeDocument/2006/relationships/hyperlink" Target="mailto:families@ons.gov.uk?subject=Householdsizebyregionstable%20Table%207-I%20need%20something%20different" TargetMode="External"/><Relationship Id="rId1" Type="http://schemas.openxmlformats.org/officeDocument/2006/relationships/hyperlink" Target="mailto:families@ons.gov.uk?subject=Householdsizebyregionstable%20Table%207-meets%20my%20needs" TargetMode="External"/><Relationship Id="rId4"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3" Type="http://schemas.openxmlformats.org/officeDocument/2006/relationships/hyperlink" Target="mailto:families@ons.gov.uk?subject=Householdsizebyregionstable%20Table%208-This%20isn't%20what%20I%20need" TargetMode="External"/><Relationship Id="rId2" Type="http://schemas.openxmlformats.org/officeDocument/2006/relationships/hyperlink" Target="mailto:families@ons.gov.uk?subject=Householdsizebyregionstable%20Table%208-I%20need%20something%20different" TargetMode="External"/><Relationship Id="rId1" Type="http://schemas.openxmlformats.org/officeDocument/2006/relationships/hyperlink" Target="mailto:families@ons.gov.uk?subject=Householdsizebyregionstable%20Table%208-meets%20my%20needs" TargetMode="External"/><Relationship Id="rId4"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3" Type="http://schemas.openxmlformats.org/officeDocument/2006/relationships/hyperlink" Target="mailto:families@ons.gov.uk?subject=Householdsizebyregionstable%20Table%209-This%20isn't%20what%20I%20need" TargetMode="External"/><Relationship Id="rId2" Type="http://schemas.openxmlformats.org/officeDocument/2006/relationships/hyperlink" Target="mailto:families@ons.gov.uk?subject=Householdsizebyregionstable%20Table%209-I%20need%20something%20different" TargetMode="External"/><Relationship Id="rId1" Type="http://schemas.openxmlformats.org/officeDocument/2006/relationships/hyperlink" Target="mailto:families@ons.gov.uk?subject=Householdsizebyregionstable%20Table%209-meets%20my%20needs" TargetMode="External"/><Relationship Id="rId4"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3" Type="http://schemas.openxmlformats.org/officeDocument/2006/relationships/hyperlink" Target="mailto:families@ons.gov.uk?subject=Householdsizebyregionstable%20Table%2010-This%20isn't%20what%20I%20need" TargetMode="External"/><Relationship Id="rId2" Type="http://schemas.openxmlformats.org/officeDocument/2006/relationships/hyperlink" Target="mailto:families@ons.gov.uk?subject=Householdsizebyregionstable%20Table%2010-I%20need%20something%20different" TargetMode="External"/><Relationship Id="rId1" Type="http://schemas.openxmlformats.org/officeDocument/2006/relationships/hyperlink" Target="mailto:families@ons.gov.uk?subject=Householdsizebyregionstable%20Table%2010-meets%20my%20needs" TargetMode="External"/><Relationship Id="rId4"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3" Type="http://schemas.openxmlformats.org/officeDocument/2006/relationships/hyperlink" Target="mailto:families@ons.gov.uk?subject=Householdsizebyregionstable%20Table%2011-This%20isn't%20what%20I%20need" TargetMode="External"/><Relationship Id="rId2" Type="http://schemas.openxmlformats.org/officeDocument/2006/relationships/hyperlink" Target="mailto:families@ons.gov.uk?subject=Householdsizebyregionstable%20Table%2011-I%20need%20something%20different" TargetMode="External"/><Relationship Id="rId1" Type="http://schemas.openxmlformats.org/officeDocument/2006/relationships/hyperlink" Target="mailto:families@ons.gov.uk?subject=Householdsizebyregionstable%20Table%2011-meets%20my%20needs" TargetMode="External"/><Relationship Id="rId4"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3" Type="http://schemas.openxmlformats.org/officeDocument/2006/relationships/hyperlink" Target="mailto:families@ons.gov.uk?subject=Householdsizebyregionstable%20Table%2012-This%20isn't%20what%20I%20need" TargetMode="External"/><Relationship Id="rId2" Type="http://schemas.openxmlformats.org/officeDocument/2006/relationships/hyperlink" Target="mailto:families@ons.gov.uk?subject=Householdsizebyregionstable%20Table%2012-I%20need%20something%20different" TargetMode="External"/><Relationship Id="rId1" Type="http://schemas.openxmlformats.org/officeDocument/2006/relationships/hyperlink" Target="mailto:families@ons.gov.uk?subject=Householdsizebyregionstable%20Table%2012-meets%20my%20needs" TargetMode="External"/><Relationship Id="rId4"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C56"/>
  <sheetViews>
    <sheetView showGridLines="0" tabSelected="1" zoomScaleNormal="100" workbookViewId="0"/>
  </sheetViews>
  <sheetFormatPr defaultColWidth="10.88671875" defaultRowHeight="15" x14ac:dyDescent="0.2"/>
  <cols>
    <col min="1" max="1" width="85.6640625" style="196" customWidth="1"/>
    <col min="2" max="2" width="25.6640625" style="196" customWidth="1"/>
    <col min="3" max="3" width="8.5546875" customWidth="1"/>
    <col min="4" max="4" width="16.21875" customWidth="1"/>
    <col min="5" max="5" width="2.21875" customWidth="1"/>
    <col min="7" max="7" width="22.44140625" customWidth="1"/>
    <col min="8" max="8" width="14.44140625" customWidth="1"/>
    <col min="10" max="10" width="3.5546875" customWidth="1"/>
    <col min="12" max="12" width="7.5546875" customWidth="1"/>
    <col min="13" max="13" width="9.21875" customWidth="1"/>
    <col min="257" max="257" width="87.21875" customWidth="1"/>
    <col min="258" max="258" width="14.77734375" customWidth="1"/>
    <col min="259" max="259" width="8.5546875" customWidth="1"/>
    <col min="260" max="260" width="16.21875" customWidth="1"/>
    <col min="261" max="261" width="2.21875" customWidth="1"/>
    <col min="263" max="263" width="22.44140625" customWidth="1"/>
    <col min="264" max="264" width="14.44140625" customWidth="1"/>
    <col min="266" max="266" width="3.5546875" customWidth="1"/>
    <col min="268" max="268" width="7.5546875" customWidth="1"/>
    <col min="269" max="269" width="9.21875" customWidth="1"/>
    <col min="513" max="513" width="87.21875" customWidth="1"/>
    <col min="514" max="514" width="14.77734375" customWidth="1"/>
    <col min="515" max="515" width="8.5546875" customWidth="1"/>
    <col min="516" max="516" width="16.21875" customWidth="1"/>
    <col min="517" max="517" width="2.21875" customWidth="1"/>
    <col min="519" max="519" width="22.44140625" customWidth="1"/>
    <col min="520" max="520" width="14.44140625" customWidth="1"/>
    <col min="522" max="522" width="3.5546875" customWidth="1"/>
    <col min="524" max="524" width="7.5546875" customWidth="1"/>
    <col min="525" max="525" width="9.21875" customWidth="1"/>
    <col min="769" max="769" width="87.21875" customWidth="1"/>
    <col min="770" max="770" width="14.77734375" customWidth="1"/>
    <col min="771" max="771" width="8.5546875" customWidth="1"/>
    <col min="772" max="772" width="16.21875" customWidth="1"/>
    <col min="773" max="773" width="2.21875" customWidth="1"/>
    <col min="775" max="775" width="22.44140625" customWidth="1"/>
    <col min="776" max="776" width="14.44140625" customWidth="1"/>
    <col min="778" max="778" width="3.5546875" customWidth="1"/>
    <col min="780" max="780" width="7.5546875" customWidth="1"/>
    <col min="781" max="781" width="9.21875" customWidth="1"/>
    <col min="1025" max="1025" width="87.21875" customWidth="1"/>
    <col min="1026" max="1026" width="14.77734375" customWidth="1"/>
    <col min="1027" max="1027" width="8.5546875" customWidth="1"/>
    <col min="1028" max="1028" width="16.21875" customWidth="1"/>
    <col min="1029" max="1029" width="2.21875" customWidth="1"/>
    <col min="1031" max="1031" width="22.44140625" customWidth="1"/>
    <col min="1032" max="1032" width="14.44140625" customWidth="1"/>
    <col min="1034" max="1034" width="3.5546875" customWidth="1"/>
    <col min="1036" max="1036" width="7.5546875" customWidth="1"/>
    <col min="1037" max="1037" width="9.21875" customWidth="1"/>
    <col min="1281" max="1281" width="87.21875" customWidth="1"/>
    <col min="1282" max="1282" width="14.77734375" customWidth="1"/>
    <col min="1283" max="1283" width="8.5546875" customWidth="1"/>
    <col min="1284" max="1284" width="16.21875" customWidth="1"/>
    <col min="1285" max="1285" width="2.21875" customWidth="1"/>
    <col min="1287" max="1287" width="22.44140625" customWidth="1"/>
    <col min="1288" max="1288" width="14.44140625" customWidth="1"/>
    <col min="1290" max="1290" width="3.5546875" customWidth="1"/>
    <col min="1292" max="1292" width="7.5546875" customWidth="1"/>
    <col min="1293" max="1293" width="9.21875" customWidth="1"/>
    <col min="1537" max="1537" width="87.21875" customWidth="1"/>
    <col min="1538" max="1538" width="14.77734375" customWidth="1"/>
    <col min="1539" max="1539" width="8.5546875" customWidth="1"/>
    <col min="1540" max="1540" width="16.21875" customWidth="1"/>
    <col min="1541" max="1541" width="2.21875" customWidth="1"/>
    <col min="1543" max="1543" width="22.44140625" customWidth="1"/>
    <col min="1544" max="1544" width="14.44140625" customWidth="1"/>
    <col min="1546" max="1546" width="3.5546875" customWidth="1"/>
    <col min="1548" max="1548" width="7.5546875" customWidth="1"/>
    <col min="1549" max="1549" width="9.21875" customWidth="1"/>
    <col min="1793" max="1793" width="87.21875" customWidth="1"/>
    <col min="1794" max="1794" width="14.77734375" customWidth="1"/>
    <col min="1795" max="1795" width="8.5546875" customWidth="1"/>
    <col min="1796" max="1796" width="16.21875" customWidth="1"/>
    <col min="1797" max="1797" width="2.21875" customWidth="1"/>
    <col min="1799" max="1799" width="22.44140625" customWidth="1"/>
    <col min="1800" max="1800" width="14.44140625" customWidth="1"/>
    <col min="1802" max="1802" width="3.5546875" customWidth="1"/>
    <col min="1804" max="1804" width="7.5546875" customWidth="1"/>
    <col min="1805" max="1805" width="9.21875" customWidth="1"/>
    <col min="2049" max="2049" width="87.21875" customWidth="1"/>
    <col min="2050" max="2050" width="14.77734375" customWidth="1"/>
    <col min="2051" max="2051" width="8.5546875" customWidth="1"/>
    <col min="2052" max="2052" width="16.21875" customWidth="1"/>
    <col min="2053" max="2053" width="2.21875" customWidth="1"/>
    <col min="2055" max="2055" width="22.44140625" customWidth="1"/>
    <col min="2056" max="2056" width="14.44140625" customWidth="1"/>
    <col min="2058" max="2058" width="3.5546875" customWidth="1"/>
    <col min="2060" max="2060" width="7.5546875" customWidth="1"/>
    <col min="2061" max="2061" width="9.21875" customWidth="1"/>
    <col min="2305" max="2305" width="87.21875" customWidth="1"/>
    <col min="2306" max="2306" width="14.77734375" customWidth="1"/>
    <col min="2307" max="2307" width="8.5546875" customWidth="1"/>
    <col min="2308" max="2308" width="16.21875" customWidth="1"/>
    <col min="2309" max="2309" width="2.21875" customWidth="1"/>
    <col min="2311" max="2311" width="22.44140625" customWidth="1"/>
    <col min="2312" max="2312" width="14.44140625" customWidth="1"/>
    <col min="2314" max="2314" width="3.5546875" customWidth="1"/>
    <col min="2316" max="2316" width="7.5546875" customWidth="1"/>
    <col min="2317" max="2317" width="9.21875" customWidth="1"/>
    <col min="2561" max="2561" width="87.21875" customWidth="1"/>
    <col min="2562" max="2562" width="14.77734375" customWidth="1"/>
    <col min="2563" max="2563" width="8.5546875" customWidth="1"/>
    <col min="2564" max="2564" width="16.21875" customWidth="1"/>
    <col min="2565" max="2565" width="2.21875" customWidth="1"/>
    <col min="2567" max="2567" width="22.44140625" customWidth="1"/>
    <col min="2568" max="2568" width="14.44140625" customWidth="1"/>
    <col min="2570" max="2570" width="3.5546875" customWidth="1"/>
    <col min="2572" max="2572" width="7.5546875" customWidth="1"/>
    <col min="2573" max="2573" width="9.21875" customWidth="1"/>
    <col min="2817" max="2817" width="87.21875" customWidth="1"/>
    <col min="2818" max="2818" width="14.77734375" customWidth="1"/>
    <col min="2819" max="2819" width="8.5546875" customWidth="1"/>
    <col min="2820" max="2820" width="16.21875" customWidth="1"/>
    <col min="2821" max="2821" width="2.21875" customWidth="1"/>
    <col min="2823" max="2823" width="22.44140625" customWidth="1"/>
    <col min="2824" max="2824" width="14.44140625" customWidth="1"/>
    <col min="2826" max="2826" width="3.5546875" customWidth="1"/>
    <col min="2828" max="2828" width="7.5546875" customWidth="1"/>
    <col min="2829" max="2829" width="9.21875" customWidth="1"/>
    <col min="3073" max="3073" width="87.21875" customWidth="1"/>
    <col min="3074" max="3074" width="14.77734375" customWidth="1"/>
    <col min="3075" max="3075" width="8.5546875" customWidth="1"/>
    <col min="3076" max="3076" width="16.21875" customWidth="1"/>
    <col min="3077" max="3077" width="2.21875" customWidth="1"/>
    <col min="3079" max="3079" width="22.44140625" customWidth="1"/>
    <col min="3080" max="3080" width="14.44140625" customWidth="1"/>
    <col min="3082" max="3082" width="3.5546875" customWidth="1"/>
    <col min="3084" max="3084" width="7.5546875" customWidth="1"/>
    <col min="3085" max="3085" width="9.21875" customWidth="1"/>
    <col min="3329" max="3329" width="87.21875" customWidth="1"/>
    <col min="3330" max="3330" width="14.77734375" customWidth="1"/>
    <col min="3331" max="3331" width="8.5546875" customWidth="1"/>
    <col min="3332" max="3332" width="16.21875" customWidth="1"/>
    <col min="3333" max="3333" width="2.21875" customWidth="1"/>
    <col min="3335" max="3335" width="22.44140625" customWidth="1"/>
    <col min="3336" max="3336" width="14.44140625" customWidth="1"/>
    <col min="3338" max="3338" width="3.5546875" customWidth="1"/>
    <col min="3340" max="3340" width="7.5546875" customWidth="1"/>
    <col min="3341" max="3341" width="9.21875" customWidth="1"/>
    <col min="3585" max="3585" width="87.21875" customWidth="1"/>
    <col min="3586" max="3586" width="14.77734375" customWidth="1"/>
    <col min="3587" max="3587" width="8.5546875" customWidth="1"/>
    <col min="3588" max="3588" width="16.21875" customWidth="1"/>
    <col min="3589" max="3589" width="2.21875" customWidth="1"/>
    <col min="3591" max="3591" width="22.44140625" customWidth="1"/>
    <col min="3592" max="3592" width="14.44140625" customWidth="1"/>
    <col min="3594" max="3594" width="3.5546875" customWidth="1"/>
    <col min="3596" max="3596" width="7.5546875" customWidth="1"/>
    <col min="3597" max="3597" width="9.21875" customWidth="1"/>
    <col min="3841" max="3841" width="87.21875" customWidth="1"/>
    <col min="3842" max="3842" width="14.77734375" customWidth="1"/>
    <col min="3843" max="3843" width="8.5546875" customWidth="1"/>
    <col min="3844" max="3844" width="16.21875" customWidth="1"/>
    <col min="3845" max="3845" width="2.21875" customWidth="1"/>
    <col min="3847" max="3847" width="22.44140625" customWidth="1"/>
    <col min="3848" max="3848" width="14.44140625" customWidth="1"/>
    <col min="3850" max="3850" width="3.5546875" customWidth="1"/>
    <col min="3852" max="3852" width="7.5546875" customWidth="1"/>
    <col min="3853" max="3853" width="9.21875" customWidth="1"/>
    <col min="4097" max="4097" width="87.21875" customWidth="1"/>
    <col min="4098" max="4098" width="14.77734375" customWidth="1"/>
    <col min="4099" max="4099" width="8.5546875" customWidth="1"/>
    <col min="4100" max="4100" width="16.21875" customWidth="1"/>
    <col min="4101" max="4101" width="2.21875" customWidth="1"/>
    <col min="4103" max="4103" width="22.44140625" customWidth="1"/>
    <col min="4104" max="4104" width="14.44140625" customWidth="1"/>
    <col min="4106" max="4106" width="3.5546875" customWidth="1"/>
    <col min="4108" max="4108" width="7.5546875" customWidth="1"/>
    <col min="4109" max="4109" width="9.21875" customWidth="1"/>
    <col min="4353" max="4353" width="87.21875" customWidth="1"/>
    <col min="4354" max="4354" width="14.77734375" customWidth="1"/>
    <col min="4355" max="4355" width="8.5546875" customWidth="1"/>
    <col min="4356" max="4356" width="16.21875" customWidth="1"/>
    <col min="4357" max="4357" width="2.21875" customWidth="1"/>
    <col min="4359" max="4359" width="22.44140625" customWidth="1"/>
    <col min="4360" max="4360" width="14.44140625" customWidth="1"/>
    <col min="4362" max="4362" width="3.5546875" customWidth="1"/>
    <col min="4364" max="4364" width="7.5546875" customWidth="1"/>
    <col min="4365" max="4365" width="9.21875" customWidth="1"/>
    <col min="4609" max="4609" width="87.21875" customWidth="1"/>
    <col min="4610" max="4610" width="14.77734375" customWidth="1"/>
    <col min="4611" max="4611" width="8.5546875" customWidth="1"/>
    <col min="4612" max="4612" width="16.21875" customWidth="1"/>
    <col min="4613" max="4613" width="2.21875" customWidth="1"/>
    <col min="4615" max="4615" width="22.44140625" customWidth="1"/>
    <col min="4616" max="4616" width="14.44140625" customWidth="1"/>
    <col min="4618" max="4618" width="3.5546875" customWidth="1"/>
    <col min="4620" max="4620" width="7.5546875" customWidth="1"/>
    <col min="4621" max="4621" width="9.21875" customWidth="1"/>
    <col min="4865" max="4865" width="87.21875" customWidth="1"/>
    <col min="4866" max="4866" width="14.77734375" customWidth="1"/>
    <col min="4867" max="4867" width="8.5546875" customWidth="1"/>
    <col min="4868" max="4868" width="16.21875" customWidth="1"/>
    <col min="4869" max="4869" width="2.21875" customWidth="1"/>
    <col min="4871" max="4871" width="22.44140625" customWidth="1"/>
    <col min="4872" max="4872" width="14.44140625" customWidth="1"/>
    <col min="4874" max="4874" width="3.5546875" customWidth="1"/>
    <col min="4876" max="4876" width="7.5546875" customWidth="1"/>
    <col min="4877" max="4877" width="9.21875" customWidth="1"/>
    <col min="5121" max="5121" width="87.21875" customWidth="1"/>
    <col min="5122" max="5122" width="14.77734375" customWidth="1"/>
    <col min="5123" max="5123" width="8.5546875" customWidth="1"/>
    <col min="5124" max="5124" width="16.21875" customWidth="1"/>
    <col min="5125" max="5125" width="2.21875" customWidth="1"/>
    <col min="5127" max="5127" width="22.44140625" customWidth="1"/>
    <col min="5128" max="5128" width="14.44140625" customWidth="1"/>
    <col min="5130" max="5130" width="3.5546875" customWidth="1"/>
    <col min="5132" max="5132" width="7.5546875" customWidth="1"/>
    <col min="5133" max="5133" width="9.21875" customWidth="1"/>
    <col min="5377" max="5377" width="87.21875" customWidth="1"/>
    <col min="5378" max="5378" width="14.77734375" customWidth="1"/>
    <col min="5379" max="5379" width="8.5546875" customWidth="1"/>
    <col min="5380" max="5380" width="16.21875" customWidth="1"/>
    <col min="5381" max="5381" width="2.21875" customWidth="1"/>
    <col min="5383" max="5383" width="22.44140625" customWidth="1"/>
    <col min="5384" max="5384" width="14.44140625" customWidth="1"/>
    <col min="5386" max="5386" width="3.5546875" customWidth="1"/>
    <col min="5388" max="5388" width="7.5546875" customWidth="1"/>
    <col min="5389" max="5389" width="9.21875" customWidth="1"/>
    <col min="5633" max="5633" width="87.21875" customWidth="1"/>
    <col min="5634" max="5634" width="14.77734375" customWidth="1"/>
    <col min="5635" max="5635" width="8.5546875" customWidth="1"/>
    <col min="5636" max="5636" width="16.21875" customWidth="1"/>
    <col min="5637" max="5637" width="2.21875" customWidth="1"/>
    <col min="5639" max="5639" width="22.44140625" customWidth="1"/>
    <col min="5640" max="5640" width="14.44140625" customWidth="1"/>
    <col min="5642" max="5642" width="3.5546875" customWidth="1"/>
    <col min="5644" max="5644" width="7.5546875" customWidth="1"/>
    <col min="5645" max="5645" width="9.21875" customWidth="1"/>
    <col min="5889" max="5889" width="87.21875" customWidth="1"/>
    <col min="5890" max="5890" width="14.77734375" customWidth="1"/>
    <col min="5891" max="5891" width="8.5546875" customWidth="1"/>
    <col min="5892" max="5892" width="16.21875" customWidth="1"/>
    <col min="5893" max="5893" width="2.21875" customWidth="1"/>
    <col min="5895" max="5895" width="22.44140625" customWidth="1"/>
    <col min="5896" max="5896" width="14.44140625" customWidth="1"/>
    <col min="5898" max="5898" width="3.5546875" customWidth="1"/>
    <col min="5900" max="5900" width="7.5546875" customWidth="1"/>
    <col min="5901" max="5901" width="9.21875" customWidth="1"/>
    <col min="6145" max="6145" width="87.21875" customWidth="1"/>
    <col min="6146" max="6146" width="14.77734375" customWidth="1"/>
    <col min="6147" max="6147" width="8.5546875" customWidth="1"/>
    <col min="6148" max="6148" width="16.21875" customWidth="1"/>
    <col min="6149" max="6149" width="2.21875" customWidth="1"/>
    <col min="6151" max="6151" width="22.44140625" customWidth="1"/>
    <col min="6152" max="6152" width="14.44140625" customWidth="1"/>
    <col min="6154" max="6154" width="3.5546875" customWidth="1"/>
    <col min="6156" max="6156" width="7.5546875" customWidth="1"/>
    <col min="6157" max="6157" width="9.21875" customWidth="1"/>
    <col min="6401" max="6401" width="87.21875" customWidth="1"/>
    <col min="6402" max="6402" width="14.77734375" customWidth="1"/>
    <col min="6403" max="6403" width="8.5546875" customWidth="1"/>
    <col min="6404" max="6404" width="16.21875" customWidth="1"/>
    <col min="6405" max="6405" width="2.21875" customWidth="1"/>
    <col min="6407" max="6407" width="22.44140625" customWidth="1"/>
    <col min="6408" max="6408" width="14.44140625" customWidth="1"/>
    <col min="6410" max="6410" width="3.5546875" customWidth="1"/>
    <col min="6412" max="6412" width="7.5546875" customWidth="1"/>
    <col min="6413" max="6413" width="9.21875" customWidth="1"/>
    <col min="6657" max="6657" width="87.21875" customWidth="1"/>
    <col min="6658" max="6658" width="14.77734375" customWidth="1"/>
    <col min="6659" max="6659" width="8.5546875" customWidth="1"/>
    <col min="6660" max="6660" width="16.21875" customWidth="1"/>
    <col min="6661" max="6661" width="2.21875" customWidth="1"/>
    <col min="6663" max="6663" width="22.44140625" customWidth="1"/>
    <col min="6664" max="6664" width="14.44140625" customWidth="1"/>
    <col min="6666" max="6666" width="3.5546875" customWidth="1"/>
    <col min="6668" max="6668" width="7.5546875" customWidth="1"/>
    <col min="6669" max="6669" width="9.21875" customWidth="1"/>
    <col min="6913" max="6913" width="87.21875" customWidth="1"/>
    <col min="6914" max="6914" width="14.77734375" customWidth="1"/>
    <col min="6915" max="6915" width="8.5546875" customWidth="1"/>
    <col min="6916" max="6916" width="16.21875" customWidth="1"/>
    <col min="6917" max="6917" width="2.21875" customWidth="1"/>
    <col min="6919" max="6919" width="22.44140625" customWidth="1"/>
    <col min="6920" max="6920" width="14.44140625" customWidth="1"/>
    <col min="6922" max="6922" width="3.5546875" customWidth="1"/>
    <col min="6924" max="6924" width="7.5546875" customWidth="1"/>
    <col min="6925" max="6925" width="9.21875" customWidth="1"/>
    <col min="7169" max="7169" width="87.21875" customWidth="1"/>
    <col min="7170" max="7170" width="14.77734375" customWidth="1"/>
    <col min="7171" max="7171" width="8.5546875" customWidth="1"/>
    <col min="7172" max="7172" width="16.21875" customWidth="1"/>
    <col min="7173" max="7173" width="2.21875" customWidth="1"/>
    <col min="7175" max="7175" width="22.44140625" customWidth="1"/>
    <col min="7176" max="7176" width="14.44140625" customWidth="1"/>
    <col min="7178" max="7178" width="3.5546875" customWidth="1"/>
    <col min="7180" max="7180" width="7.5546875" customWidth="1"/>
    <col min="7181" max="7181" width="9.21875" customWidth="1"/>
    <col min="7425" max="7425" width="87.21875" customWidth="1"/>
    <col min="7426" max="7426" width="14.77734375" customWidth="1"/>
    <col min="7427" max="7427" width="8.5546875" customWidth="1"/>
    <col min="7428" max="7428" width="16.21875" customWidth="1"/>
    <col min="7429" max="7429" width="2.21875" customWidth="1"/>
    <col min="7431" max="7431" width="22.44140625" customWidth="1"/>
    <col min="7432" max="7432" width="14.44140625" customWidth="1"/>
    <col min="7434" max="7434" width="3.5546875" customWidth="1"/>
    <col min="7436" max="7436" width="7.5546875" customWidth="1"/>
    <col min="7437" max="7437" width="9.21875" customWidth="1"/>
    <col min="7681" max="7681" width="87.21875" customWidth="1"/>
    <col min="7682" max="7682" width="14.77734375" customWidth="1"/>
    <col min="7683" max="7683" width="8.5546875" customWidth="1"/>
    <col min="7684" max="7684" width="16.21875" customWidth="1"/>
    <col min="7685" max="7685" width="2.21875" customWidth="1"/>
    <col min="7687" max="7687" width="22.44140625" customWidth="1"/>
    <col min="7688" max="7688" width="14.44140625" customWidth="1"/>
    <col min="7690" max="7690" width="3.5546875" customWidth="1"/>
    <col min="7692" max="7692" width="7.5546875" customWidth="1"/>
    <col min="7693" max="7693" width="9.21875" customWidth="1"/>
    <col min="7937" max="7937" width="87.21875" customWidth="1"/>
    <col min="7938" max="7938" width="14.77734375" customWidth="1"/>
    <col min="7939" max="7939" width="8.5546875" customWidth="1"/>
    <col min="7940" max="7940" width="16.21875" customWidth="1"/>
    <col min="7941" max="7941" width="2.21875" customWidth="1"/>
    <col min="7943" max="7943" width="22.44140625" customWidth="1"/>
    <col min="7944" max="7944" width="14.44140625" customWidth="1"/>
    <col min="7946" max="7946" width="3.5546875" customWidth="1"/>
    <col min="7948" max="7948" width="7.5546875" customWidth="1"/>
    <col min="7949" max="7949" width="9.21875" customWidth="1"/>
    <col min="8193" max="8193" width="87.21875" customWidth="1"/>
    <col min="8194" max="8194" width="14.77734375" customWidth="1"/>
    <col min="8195" max="8195" width="8.5546875" customWidth="1"/>
    <col min="8196" max="8196" width="16.21875" customWidth="1"/>
    <col min="8197" max="8197" width="2.21875" customWidth="1"/>
    <col min="8199" max="8199" width="22.44140625" customWidth="1"/>
    <col min="8200" max="8200" width="14.44140625" customWidth="1"/>
    <col min="8202" max="8202" width="3.5546875" customWidth="1"/>
    <col min="8204" max="8204" width="7.5546875" customWidth="1"/>
    <col min="8205" max="8205" width="9.21875" customWidth="1"/>
    <col min="8449" max="8449" width="87.21875" customWidth="1"/>
    <col min="8450" max="8450" width="14.77734375" customWidth="1"/>
    <col min="8451" max="8451" width="8.5546875" customWidth="1"/>
    <col min="8452" max="8452" width="16.21875" customWidth="1"/>
    <col min="8453" max="8453" width="2.21875" customWidth="1"/>
    <col min="8455" max="8455" width="22.44140625" customWidth="1"/>
    <col min="8456" max="8456" width="14.44140625" customWidth="1"/>
    <col min="8458" max="8458" width="3.5546875" customWidth="1"/>
    <col min="8460" max="8460" width="7.5546875" customWidth="1"/>
    <col min="8461" max="8461" width="9.21875" customWidth="1"/>
    <col min="8705" max="8705" width="87.21875" customWidth="1"/>
    <col min="8706" max="8706" width="14.77734375" customWidth="1"/>
    <col min="8707" max="8707" width="8.5546875" customWidth="1"/>
    <col min="8708" max="8708" width="16.21875" customWidth="1"/>
    <col min="8709" max="8709" width="2.21875" customWidth="1"/>
    <col min="8711" max="8711" width="22.44140625" customWidth="1"/>
    <col min="8712" max="8712" width="14.44140625" customWidth="1"/>
    <col min="8714" max="8714" width="3.5546875" customWidth="1"/>
    <col min="8716" max="8716" width="7.5546875" customWidth="1"/>
    <col min="8717" max="8717" width="9.21875" customWidth="1"/>
    <col min="8961" max="8961" width="87.21875" customWidth="1"/>
    <col min="8962" max="8962" width="14.77734375" customWidth="1"/>
    <col min="8963" max="8963" width="8.5546875" customWidth="1"/>
    <col min="8964" max="8964" width="16.21875" customWidth="1"/>
    <col min="8965" max="8965" width="2.21875" customWidth="1"/>
    <col min="8967" max="8967" width="22.44140625" customWidth="1"/>
    <col min="8968" max="8968" width="14.44140625" customWidth="1"/>
    <col min="8970" max="8970" width="3.5546875" customWidth="1"/>
    <col min="8972" max="8972" width="7.5546875" customWidth="1"/>
    <col min="8973" max="8973" width="9.21875" customWidth="1"/>
    <col min="9217" max="9217" width="87.21875" customWidth="1"/>
    <col min="9218" max="9218" width="14.77734375" customWidth="1"/>
    <col min="9219" max="9219" width="8.5546875" customWidth="1"/>
    <col min="9220" max="9220" width="16.21875" customWidth="1"/>
    <col min="9221" max="9221" width="2.21875" customWidth="1"/>
    <col min="9223" max="9223" width="22.44140625" customWidth="1"/>
    <col min="9224" max="9224" width="14.44140625" customWidth="1"/>
    <col min="9226" max="9226" width="3.5546875" customWidth="1"/>
    <col min="9228" max="9228" width="7.5546875" customWidth="1"/>
    <col min="9229" max="9229" width="9.21875" customWidth="1"/>
    <col min="9473" max="9473" width="87.21875" customWidth="1"/>
    <col min="9474" max="9474" width="14.77734375" customWidth="1"/>
    <col min="9475" max="9475" width="8.5546875" customWidth="1"/>
    <col min="9476" max="9476" width="16.21875" customWidth="1"/>
    <col min="9477" max="9477" width="2.21875" customWidth="1"/>
    <col min="9479" max="9479" width="22.44140625" customWidth="1"/>
    <col min="9480" max="9480" width="14.44140625" customWidth="1"/>
    <col min="9482" max="9482" width="3.5546875" customWidth="1"/>
    <col min="9484" max="9484" width="7.5546875" customWidth="1"/>
    <col min="9485" max="9485" width="9.21875" customWidth="1"/>
    <col min="9729" max="9729" width="87.21875" customWidth="1"/>
    <col min="9730" max="9730" width="14.77734375" customWidth="1"/>
    <col min="9731" max="9731" width="8.5546875" customWidth="1"/>
    <col min="9732" max="9732" width="16.21875" customWidth="1"/>
    <col min="9733" max="9733" width="2.21875" customWidth="1"/>
    <col min="9735" max="9735" width="22.44140625" customWidth="1"/>
    <col min="9736" max="9736" width="14.44140625" customWidth="1"/>
    <col min="9738" max="9738" width="3.5546875" customWidth="1"/>
    <col min="9740" max="9740" width="7.5546875" customWidth="1"/>
    <col min="9741" max="9741" width="9.21875" customWidth="1"/>
    <col min="9985" max="9985" width="87.21875" customWidth="1"/>
    <col min="9986" max="9986" width="14.77734375" customWidth="1"/>
    <col min="9987" max="9987" width="8.5546875" customWidth="1"/>
    <col min="9988" max="9988" width="16.21875" customWidth="1"/>
    <col min="9989" max="9989" width="2.21875" customWidth="1"/>
    <col min="9991" max="9991" width="22.44140625" customWidth="1"/>
    <col min="9992" max="9992" width="14.44140625" customWidth="1"/>
    <col min="9994" max="9994" width="3.5546875" customWidth="1"/>
    <col min="9996" max="9996" width="7.5546875" customWidth="1"/>
    <col min="9997" max="9997" width="9.21875" customWidth="1"/>
    <col min="10241" max="10241" width="87.21875" customWidth="1"/>
    <col min="10242" max="10242" width="14.77734375" customWidth="1"/>
    <col min="10243" max="10243" width="8.5546875" customWidth="1"/>
    <col min="10244" max="10244" width="16.21875" customWidth="1"/>
    <col min="10245" max="10245" width="2.21875" customWidth="1"/>
    <col min="10247" max="10247" width="22.44140625" customWidth="1"/>
    <col min="10248" max="10248" width="14.44140625" customWidth="1"/>
    <col min="10250" max="10250" width="3.5546875" customWidth="1"/>
    <col min="10252" max="10252" width="7.5546875" customWidth="1"/>
    <col min="10253" max="10253" width="9.21875" customWidth="1"/>
    <col min="10497" max="10497" width="87.21875" customWidth="1"/>
    <col min="10498" max="10498" width="14.77734375" customWidth="1"/>
    <col min="10499" max="10499" width="8.5546875" customWidth="1"/>
    <col min="10500" max="10500" width="16.21875" customWidth="1"/>
    <col min="10501" max="10501" width="2.21875" customWidth="1"/>
    <col min="10503" max="10503" width="22.44140625" customWidth="1"/>
    <col min="10504" max="10504" width="14.44140625" customWidth="1"/>
    <col min="10506" max="10506" width="3.5546875" customWidth="1"/>
    <col min="10508" max="10508" width="7.5546875" customWidth="1"/>
    <col min="10509" max="10509" width="9.21875" customWidth="1"/>
    <col min="10753" max="10753" width="87.21875" customWidth="1"/>
    <col min="10754" max="10754" width="14.77734375" customWidth="1"/>
    <col min="10755" max="10755" width="8.5546875" customWidth="1"/>
    <col min="10756" max="10756" width="16.21875" customWidth="1"/>
    <col min="10757" max="10757" width="2.21875" customWidth="1"/>
    <col min="10759" max="10759" width="22.44140625" customWidth="1"/>
    <col min="10760" max="10760" width="14.44140625" customWidth="1"/>
    <col min="10762" max="10762" width="3.5546875" customWidth="1"/>
    <col min="10764" max="10764" width="7.5546875" customWidth="1"/>
    <col min="10765" max="10765" width="9.21875" customWidth="1"/>
    <col min="11009" max="11009" width="87.21875" customWidth="1"/>
    <col min="11010" max="11010" width="14.77734375" customWidth="1"/>
    <col min="11011" max="11011" width="8.5546875" customWidth="1"/>
    <col min="11012" max="11012" width="16.21875" customWidth="1"/>
    <col min="11013" max="11013" width="2.21875" customWidth="1"/>
    <col min="11015" max="11015" width="22.44140625" customWidth="1"/>
    <col min="11016" max="11016" width="14.44140625" customWidth="1"/>
    <col min="11018" max="11018" width="3.5546875" customWidth="1"/>
    <col min="11020" max="11020" width="7.5546875" customWidth="1"/>
    <col min="11021" max="11021" width="9.21875" customWidth="1"/>
    <col min="11265" max="11265" width="87.21875" customWidth="1"/>
    <col min="11266" max="11266" width="14.77734375" customWidth="1"/>
    <col min="11267" max="11267" width="8.5546875" customWidth="1"/>
    <col min="11268" max="11268" width="16.21875" customWidth="1"/>
    <col min="11269" max="11269" width="2.21875" customWidth="1"/>
    <col min="11271" max="11271" width="22.44140625" customWidth="1"/>
    <col min="11272" max="11272" width="14.44140625" customWidth="1"/>
    <col min="11274" max="11274" width="3.5546875" customWidth="1"/>
    <col min="11276" max="11276" width="7.5546875" customWidth="1"/>
    <col min="11277" max="11277" width="9.21875" customWidth="1"/>
    <col min="11521" max="11521" width="87.21875" customWidth="1"/>
    <col min="11522" max="11522" width="14.77734375" customWidth="1"/>
    <col min="11523" max="11523" width="8.5546875" customWidth="1"/>
    <col min="11524" max="11524" width="16.21875" customWidth="1"/>
    <col min="11525" max="11525" width="2.21875" customWidth="1"/>
    <col min="11527" max="11527" width="22.44140625" customWidth="1"/>
    <col min="11528" max="11528" width="14.44140625" customWidth="1"/>
    <col min="11530" max="11530" width="3.5546875" customWidth="1"/>
    <col min="11532" max="11532" width="7.5546875" customWidth="1"/>
    <col min="11533" max="11533" width="9.21875" customWidth="1"/>
    <col min="11777" max="11777" width="87.21875" customWidth="1"/>
    <col min="11778" max="11778" width="14.77734375" customWidth="1"/>
    <col min="11779" max="11779" width="8.5546875" customWidth="1"/>
    <col min="11780" max="11780" width="16.21875" customWidth="1"/>
    <col min="11781" max="11781" width="2.21875" customWidth="1"/>
    <col min="11783" max="11783" width="22.44140625" customWidth="1"/>
    <col min="11784" max="11784" width="14.44140625" customWidth="1"/>
    <col min="11786" max="11786" width="3.5546875" customWidth="1"/>
    <col min="11788" max="11788" width="7.5546875" customWidth="1"/>
    <col min="11789" max="11789" width="9.21875" customWidth="1"/>
    <col min="12033" max="12033" width="87.21875" customWidth="1"/>
    <col min="12034" max="12034" width="14.77734375" customWidth="1"/>
    <col min="12035" max="12035" width="8.5546875" customWidth="1"/>
    <col min="12036" max="12036" width="16.21875" customWidth="1"/>
    <col min="12037" max="12037" width="2.21875" customWidth="1"/>
    <col min="12039" max="12039" width="22.44140625" customWidth="1"/>
    <col min="12040" max="12040" width="14.44140625" customWidth="1"/>
    <col min="12042" max="12042" width="3.5546875" customWidth="1"/>
    <col min="12044" max="12044" width="7.5546875" customWidth="1"/>
    <col min="12045" max="12045" width="9.21875" customWidth="1"/>
    <col min="12289" max="12289" width="87.21875" customWidth="1"/>
    <col min="12290" max="12290" width="14.77734375" customWidth="1"/>
    <col min="12291" max="12291" width="8.5546875" customWidth="1"/>
    <col min="12292" max="12292" width="16.21875" customWidth="1"/>
    <col min="12293" max="12293" width="2.21875" customWidth="1"/>
    <col min="12295" max="12295" width="22.44140625" customWidth="1"/>
    <col min="12296" max="12296" width="14.44140625" customWidth="1"/>
    <col min="12298" max="12298" width="3.5546875" customWidth="1"/>
    <col min="12300" max="12300" width="7.5546875" customWidth="1"/>
    <col min="12301" max="12301" width="9.21875" customWidth="1"/>
    <col min="12545" max="12545" width="87.21875" customWidth="1"/>
    <col min="12546" max="12546" width="14.77734375" customWidth="1"/>
    <col min="12547" max="12547" width="8.5546875" customWidth="1"/>
    <col min="12548" max="12548" width="16.21875" customWidth="1"/>
    <col min="12549" max="12549" width="2.21875" customWidth="1"/>
    <col min="12551" max="12551" width="22.44140625" customWidth="1"/>
    <col min="12552" max="12552" width="14.44140625" customWidth="1"/>
    <col min="12554" max="12554" width="3.5546875" customWidth="1"/>
    <col min="12556" max="12556" width="7.5546875" customWidth="1"/>
    <col min="12557" max="12557" width="9.21875" customWidth="1"/>
    <col min="12801" max="12801" width="87.21875" customWidth="1"/>
    <col min="12802" max="12802" width="14.77734375" customWidth="1"/>
    <col min="12803" max="12803" width="8.5546875" customWidth="1"/>
    <col min="12804" max="12804" width="16.21875" customWidth="1"/>
    <col min="12805" max="12805" width="2.21875" customWidth="1"/>
    <col min="12807" max="12807" width="22.44140625" customWidth="1"/>
    <col min="12808" max="12808" width="14.44140625" customWidth="1"/>
    <col min="12810" max="12810" width="3.5546875" customWidth="1"/>
    <col min="12812" max="12812" width="7.5546875" customWidth="1"/>
    <col min="12813" max="12813" width="9.21875" customWidth="1"/>
    <col min="13057" max="13057" width="87.21875" customWidth="1"/>
    <col min="13058" max="13058" width="14.77734375" customWidth="1"/>
    <col min="13059" max="13059" width="8.5546875" customWidth="1"/>
    <col min="13060" max="13060" width="16.21875" customWidth="1"/>
    <col min="13061" max="13061" width="2.21875" customWidth="1"/>
    <col min="13063" max="13063" width="22.44140625" customWidth="1"/>
    <col min="13064" max="13064" width="14.44140625" customWidth="1"/>
    <col min="13066" max="13066" width="3.5546875" customWidth="1"/>
    <col min="13068" max="13068" width="7.5546875" customWidth="1"/>
    <col min="13069" max="13069" width="9.21875" customWidth="1"/>
    <col min="13313" max="13313" width="87.21875" customWidth="1"/>
    <col min="13314" max="13314" width="14.77734375" customWidth="1"/>
    <col min="13315" max="13315" width="8.5546875" customWidth="1"/>
    <col min="13316" max="13316" width="16.21875" customWidth="1"/>
    <col min="13317" max="13317" width="2.21875" customWidth="1"/>
    <col min="13319" max="13319" width="22.44140625" customWidth="1"/>
    <col min="13320" max="13320" width="14.44140625" customWidth="1"/>
    <col min="13322" max="13322" width="3.5546875" customWidth="1"/>
    <col min="13324" max="13324" width="7.5546875" customWidth="1"/>
    <col min="13325" max="13325" width="9.21875" customWidth="1"/>
    <col min="13569" max="13569" width="87.21875" customWidth="1"/>
    <col min="13570" max="13570" width="14.77734375" customWidth="1"/>
    <col min="13571" max="13571" width="8.5546875" customWidth="1"/>
    <col min="13572" max="13572" width="16.21875" customWidth="1"/>
    <col min="13573" max="13573" width="2.21875" customWidth="1"/>
    <col min="13575" max="13575" width="22.44140625" customWidth="1"/>
    <col min="13576" max="13576" width="14.44140625" customWidth="1"/>
    <col min="13578" max="13578" width="3.5546875" customWidth="1"/>
    <col min="13580" max="13580" width="7.5546875" customWidth="1"/>
    <col min="13581" max="13581" width="9.21875" customWidth="1"/>
    <col min="13825" max="13825" width="87.21875" customWidth="1"/>
    <col min="13826" max="13826" width="14.77734375" customWidth="1"/>
    <col min="13827" max="13827" width="8.5546875" customWidth="1"/>
    <col min="13828" max="13828" width="16.21875" customWidth="1"/>
    <col min="13829" max="13829" width="2.21875" customWidth="1"/>
    <col min="13831" max="13831" width="22.44140625" customWidth="1"/>
    <col min="13832" max="13832" width="14.44140625" customWidth="1"/>
    <col min="13834" max="13834" width="3.5546875" customWidth="1"/>
    <col min="13836" max="13836" width="7.5546875" customWidth="1"/>
    <col min="13837" max="13837" width="9.21875" customWidth="1"/>
    <col min="14081" max="14081" width="87.21875" customWidth="1"/>
    <col min="14082" max="14082" width="14.77734375" customWidth="1"/>
    <col min="14083" max="14083" width="8.5546875" customWidth="1"/>
    <col min="14084" max="14084" width="16.21875" customWidth="1"/>
    <col min="14085" max="14085" width="2.21875" customWidth="1"/>
    <col min="14087" max="14087" width="22.44140625" customWidth="1"/>
    <col min="14088" max="14088" width="14.44140625" customWidth="1"/>
    <col min="14090" max="14090" width="3.5546875" customWidth="1"/>
    <col min="14092" max="14092" width="7.5546875" customWidth="1"/>
    <col min="14093" max="14093" width="9.21875" customWidth="1"/>
    <col min="14337" max="14337" width="87.21875" customWidth="1"/>
    <col min="14338" max="14338" width="14.77734375" customWidth="1"/>
    <col min="14339" max="14339" width="8.5546875" customWidth="1"/>
    <col min="14340" max="14340" width="16.21875" customWidth="1"/>
    <col min="14341" max="14341" width="2.21875" customWidth="1"/>
    <col min="14343" max="14343" width="22.44140625" customWidth="1"/>
    <col min="14344" max="14344" width="14.44140625" customWidth="1"/>
    <col min="14346" max="14346" width="3.5546875" customWidth="1"/>
    <col min="14348" max="14348" width="7.5546875" customWidth="1"/>
    <col min="14349" max="14349" width="9.21875" customWidth="1"/>
    <col min="14593" max="14593" width="87.21875" customWidth="1"/>
    <col min="14594" max="14594" width="14.77734375" customWidth="1"/>
    <col min="14595" max="14595" width="8.5546875" customWidth="1"/>
    <col min="14596" max="14596" width="16.21875" customWidth="1"/>
    <col min="14597" max="14597" width="2.21875" customWidth="1"/>
    <col min="14599" max="14599" width="22.44140625" customWidth="1"/>
    <col min="14600" max="14600" width="14.44140625" customWidth="1"/>
    <col min="14602" max="14602" width="3.5546875" customWidth="1"/>
    <col min="14604" max="14604" width="7.5546875" customWidth="1"/>
    <col min="14605" max="14605" width="9.21875" customWidth="1"/>
    <col min="14849" max="14849" width="87.21875" customWidth="1"/>
    <col min="14850" max="14850" width="14.77734375" customWidth="1"/>
    <col min="14851" max="14851" width="8.5546875" customWidth="1"/>
    <col min="14852" max="14852" width="16.21875" customWidth="1"/>
    <col min="14853" max="14853" width="2.21875" customWidth="1"/>
    <col min="14855" max="14855" width="22.44140625" customWidth="1"/>
    <col min="14856" max="14856" width="14.44140625" customWidth="1"/>
    <col min="14858" max="14858" width="3.5546875" customWidth="1"/>
    <col min="14860" max="14860" width="7.5546875" customWidth="1"/>
    <col min="14861" max="14861" width="9.21875" customWidth="1"/>
    <col min="15105" max="15105" width="87.21875" customWidth="1"/>
    <col min="15106" max="15106" width="14.77734375" customWidth="1"/>
    <col min="15107" max="15107" width="8.5546875" customWidth="1"/>
    <col min="15108" max="15108" width="16.21875" customWidth="1"/>
    <col min="15109" max="15109" width="2.21875" customWidth="1"/>
    <col min="15111" max="15111" width="22.44140625" customWidth="1"/>
    <col min="15112" max="15112" width="14.44140625" customWidth="1"/>
    <col min="15114" max="15114" width="3.5546875" customWidth="1"/>
    <col min="15116" max="15116" width="7.5546875" customWidth="1"/>
    <col min="15117" max="15117" width="9.21875" customWidth="1"/>
    <col min="15361" max="15361" width="87.21875" customWidth="1"/>
    <col min="15362" max="15362" width="14.77734375" customWidth="1"/>
    <col min="15363" max="15363" width="8.5546875" customWidth="1"/>
    <col min="15364" max="15364" width="16.21875" customWidth="1"/>
    <col min="15365" max="15365" width="2.21875" customWidth="1"/>
    <col min="15367" max="15367" width="22.44140625" customWidth="1"/>
    <col min="15368" max="15368" width="14.44140625" customWidth="1"/>
    <col min="15370" max="15370" width="3.5546875" customWidth="1"/>
    <col min="15372" max="15372" width="7.5546875" customWidth="1"/>
    <col min="15373" max="15373" width="9.21875" customWidth="1"/>
    <col min="15617" max="15617" width="87.21875" customWidth="1"/>
    <col min="15618" max="15618" width="14.77734375" customWidth="1"/>
    <col min="15619" max="15619" width="8.5546875" customWidth="1"/>
    <col min="15620" max="15620" width="16.21875" customWidth="1"/>
    <col min="15621" max="15621" width="2.21875" customWidth="1"/>
    <col min="15623" max="15623" width="22.44140625" customWidth="1"/>
    <col min="15624" max="15624" width="14.44140625" customWidth="1"/>
    <col min="15626" max="15626" width="3.5546875" customWidth="1"/>
    <col min="15628" max="15628" width="7.5546875" customWidth="1"/>
    <col min="15629" max="15629" width="9.21875" customWidth="1"/>
    <col min="15873" max="15873" width="87.21875" customWidth="1"/>
    <col min="15874" max="15874" width="14.77734375" customWidth="1"/>
    <col min="15875" max="15875" width="8.5546875" customWidth="1"/>
    <col min="15876" max="15876" width="16.21875" customWidth="1"/>
    <col min="15877" max="15877" width="2.21875" customWidth="1"/>
    <col min="15879" max="15879" width="22.44140625" customWidth="1"/>
    <col min="15880" max="15880" width="14.44140625" customWidth="1"/>
    <col min="15882" max="15882" width="3.5546875" customWidth="1"/>
    <col min="15884" max="15884" width="7.5546875" customWidth="1"/>
    <col min="15885" max="15885" width="9.21875" customWidth="1"/>
    <col min="16129" max="16129" width="87.21875" customWidth="1"/>
    <col min="16130" max="16130" width="14.77734375" customWidth="1"/>
    <col min="16131" max="16131" width="8.5546875" customWidth="1"/>
    <col min="16132" max="16132" width="16.21875" customWidth="1"/>
    <col min="16133" max="16133" width="2.21875" customWidth="1"/>
    <col min="16135" max="16135" width="22.44140625" customWidth="1"/>
    <col min="16136" max="16136" width="14.44140625" customWidth="1"/>
    <col min="16138" max="16138" width="3.5546875" customWidth="1"/>
    <col min="16140" max="16140" width="7.5546875" customWidth="1"/>
    <col min="16141" max="16141" width="9.21875" customWidth="1"/>
  </cols>
  <sheetData>
    <row r="1" spans="1:9" ht="31.15" customHeight="1" x14ac:dyDescent="0.3">
      <c r="A1" s="193" t="s">
        <v>0</v>
      </c>
    </row>
    <row r="2" spans="1:9" ht="15.4" customHeight="1" x14ac:dyDescent="0.2">
      <c r="A2" s="196" t="s">
        <v>171</v>
      </c>
    </row>
    <row r="3" spans="1:9" ht="15.4" customHeight="1" x14ac:dyDescent="0.2">
      <c r="A3" s="19" t="s">
        <v>176</v>
      </c>
    </row>
    <row r="4" spans="1:9" ht="15.4" customHeight="1" x14ac:dyDescent="0.2">
      <c r="A4" s="19" t="s">
        <v>177</v>
      </c>
    </row>
    <row r="5" spans="1:9" ht="15.4" customHeight="1" x14ac:dyDescent="0.2">
      <c r="A5" s="19" t="s">
        <v>1</v>
      </c>
      <c r="B5" s="19"/>
      <c r="C5" s="3"/>
      <c r="D5" s="3"/>
      <c r="E5" s="3"/>
      <c r="F5" s="3"/>
      <c r="G5" s="3"/>
      <c r="H5" s="3"/>
      <c r="I5" s="3"/>
    </row>
    <row r="6" spans="1:9" ht="15.4" customHeight="1" x14ac:dyDescent="0.2">
      <c r="A6" s="19" t="s">
        <v>2</v>
      </c>
      <c r="B6" s="19"/>
      <c r="C6" s="3"/>
      <c r="D6" s="3"/>
      <c r="E6" s="3"/>
      <c r="F6" s="3"/>
      <c r="G6" s="3"/>
      <c r="H6" s="3"/>
      <c r="I6" s="3"/>
    </row>
    <row r="7" spans="1:9" ht="31.15" customHeight="1" x14ac:dyDescent="0.25">
      <c r="A7" s="197" t="s">
        <v>3</v>
      </c>
    </row>
    <row r="8" spans="1:9" ht="19.5" customHeight="1" x14ac:dyDescent="0.2">
      <c r="A8" s="198" t="s">
        <v>4</v>
      </c>
      <c r="B8" s="198" t="s">
        <v>5</v>
      </c>
      <c r="C8" s="24"/>
      <c r="D8" s="3"/>
      <c r="E8" s="3"/>
      <c r="F8" s="3"/>
      <c r="G8" s="3"/>
      <c r="H8" s="3"/>
      <c r="I8" s="3"/>
    </row>
    <row r="9" spans="1:9" x14ac:dyDescent="0.2">
      <c r="A9" s="19" t="s">
        <v>6</v>
      </c>
      <c r="B9" s="204" t="str">
        <f>HYPERLINK("#North_East!A1","North East")</f>
        <v>North East</v>
      </c>
      <c r="C9" s="3"/>
      <c r="D9" s="3"/>
      <c r="E9" s="3"/>
      <c r="F9" s="3"/>
      <c r="G9" s="3"/>
      <c r="H9" s="3"/>
      <c r="I9" s="3"/>
    </row>
    <row r="10" spans="1:9" x14ac:dyDescent="0.2">
      <c r="A10" s="19" t="s">
        <v>7</v>
      </c>
      <c r="B10" s="204" t="str">
        <f>HYPERLINK("#North_West!A1","North West")</f>
        <v>North West</v>
      </c>
      <c r="C10" s="3"/>
      <c r="D10" s="3"/>
      <c r="E10" s="3"/>
      <c r="F10" s="3"/>
      <c r="G10" s="3"/>
      <c r="H10" s="3"/>
      <c r="I10" s="3"/>
    </row>
    <row r="11" spans="1:9" x14ac:dyDescent="0.2">
      <c r="A11" s="19" t="s">
        <v>8</v>
      </c>
      <c r="B11" s="204" t="str">
        <f>HYPERLINK("#Yorkshire_and_The_Humber!A1","Yorkshire and The Humber")</f>
        <v>Yorkshire and The Humber</v>
      </c>
      <c r="C11" s="3"/>
      <c r="D11" s="3"/>
      <c r="E11" s="3"/>
      <c r="F11" s="3"/>
      <c r="G11" s="3"/>
      <c r="H11" s="3"/>
      <c r="I11" s="3"/>
    </row>
    <row r="12" spans="1:9" x14ac:dyDescent="0.2">
      <c r="A12" s="19" t="s">
        <v>9</v>
      </c>
      <c r="B12" s="204" t="str">
        <f>HYPERLINK("#East_Midlands!A1","East Midlands")</f>
        <v>East Midlands</v>
      </c>
      <c r="C12" s="3"/>
      <c r="D12" s="3"/>
      <c r="E12" s="3"/>
      <c r="F12" s="3"/>
      <c r="G12" s="3"/>
      <c r="H12" s="3"/>
      <c r="I12" s="3"/>
    </row>
    <row r="13" spans="1:9" x14ac:dyDescent="0.2">
      <c r="A13" s="19" t="s">
        <v>10</v>
      </c>
      <c r="B13" s="204" t="str">
        <f>HYPERLINK("#West_Midlands!A1","West Midlands")</f>
        <v>West Midlands</v>
      </c>
    </row>
    <row r="14" spans="1:9" x14ac:dyDescent="0.2">
      <c r="A14" s="19" t="s">
        <v>11</v>
      </c>
      <c r="B14" s="204" t="str">
        <f>HYPERLINK("#East!A1","East")</f>
        <v>East</v>
      </c>
    </row>
    <row r="15" spans="1:9" x14ac:dyDescent="0.2">
      <c r="A15" s="101" t="s">
        <v>12</v>
      </c>
      <c r="B15" s="204" t="str">
        <f>HYPERLINK("#London!A1","London")</f>
        <v>London</v>
      </c>
    </row>
    <row r="16" spans="1:9" x14ac:dyDescent="0.2">
      <c r="A16" s="19" t="s">
        <v>13</v>
      </c>
      <c r="B16" s="204" t="str">
        <f>HYPERLINK("#South_East!A1","South East")</f>
        <v>South East</v>
      </c>
      <c r="G16" s="3"/>
    </row>
    <row r="17" spans="1:29" ht="15.4" customHeight="1" x14ac:dyDescent="0.2">
      <c r="A17" s="19" t="s">
        <v>14</v>
      </c>
      <c r="B17" s="204" t="str">
        <f>HYPERLINK("#South_West!A1","South West")</f>
        <v>South West</v>
      </c>
      <c r="E17" s="2"/>
    </row>
    <row r="18" spans="1:29" x14ac:dyDescent="0.2">
      <c r="A18" s="19" t="s">
        <v>15</v>
      </c>
      <c r="B18" s="204" t="str">
        <f>HYPERLINK("#England!A1","England")</f>
        <v>England</v>
      </c>
    </row>
    <row r="19" spans="1:29" x14ac:dyDescent="0.2">
      <c r="A19" s="19" t="s">
        <v>16</v>
      </c>
      <c r="B19" s="204" t="str">
        <f>HYPERLINK("#Wales!A1","Wales")</f>
        <v>Wales</v>
      </c>
    </row>
    <row r="20" spans="1:29" ht="16.5" x14ac:dyDescent="0.2">
      <c r="A20" s="19" t="s">
        <v>17</v>
      </c>
      <c r="B20" s="204" t="str">
        <f>HYPERLINK("#Scotland!A1","Scotland")</f>
        <v>Scotland</v>
      </c>
      <c r="G20" s="21"/>
    </row>
    <row r="21" spans="1:29" ht="31.15" customHeight="1" x14ac:dyDescent="0.25">
      <c r="A21" s="203" t="s">
        <v>18</v>
      </c>
      <c r="B21" s="205"/>
      <c r="C21" s="5"/>
    </row>
    <row r="22" spans="1:29" ht="16.149999999999999" customHeight="1" x14ac:dyDescent="0.2">
      <c r="A22" s="200" t="s">
        <v>19</v>
      </c>
      <c r="B22" s="101"/>
    </row>
    <row r="23" spans="1:29" x14ac:dyDescent="0.2">
      <c r="A23" s="101" t="s">
        <v>20</v>
      </c>
      <c r="Q23" s="16"/>
      <c r="T23" s="16"/>
      <c r="W23" s="16"/>
      <c r="Z23" s="16"/>
      <c r="AC23" s="16"/>
    </row>
    <row r="24" spans="1:29" ht="31.15" customHeight="1" x14ac:dyDescent="0.2">
      <c r="A24" s="201" t="s">
        <v>21</v>
      </c>
      <c r="Q24" s="16"/>
      <c r="T24" s="16"/>
      <c r="W24" s="16"/>
      <c r="Z24" s="16"/>
      <c r="AC24" s="16"/>
    </row>
    <row r="25" spans="1:29" ht="45" x14ac:dyDescent="0.2">
      <c r="A25" s="202" t="s">
        <v>22</v>
      </c>
    </row>
    <row r="26" spans="1:29" ht="45" x14ac:dyDescent="0.2">
      <c r="A26" s="18" t="s">
        <v>23</v>
      </c>
    </row>
    <row r="27" spans="1:29" ht="30" x14ac:dyDescent="0.2">
      <c r="A27" s="18" t="s">
        <v>24</v>
      </c>
    </row>
    <row r="28" spans="1:29" ht="15.4" customHeight="1" x14ac:dyDescent="0.2">
      <c r="A28" s="22" t="s">
        <v>25</v>
      </c>
    </row>
    <row r="29" spans="1:29" ht="31.15" customHeight="1" x14ac:dyDescent="0.25">
      <c r="A29" s="203" t="s">
        <v>26</v>
      </c>
      <c r="B29" s="101"/>
      <c r="C29" s="3"/>
      <c r="D29" s="3"/>
      <c r="E29" s="3"/>
      <c r="F29" s="7"/>
      <c r="G29" s="3"/>
      <c r="H29" s="3"/>
      <c r="I29" s="3"/>
      <c r="J29" s="3"/>
      <c r="K29" s="3"/>
      <c r="L29" s="3"/>
      <c r="M29" s="3"/>
      <c r="N29" s="3"/>
      <c r="O29" s="3"/>
      <c r="P29" s="3"/>
      <c r="Q29" s="3"/>
      <c r="R29" s="3"/>
      <c r="S29" s="3"/>
      <c r="T29" s="3"/>
      <c r="U29" s="3"/>
      <c r="V29" s="3"/>
      <c r="W29" s="3"/>
      <c r="X29" s="3"/>
      <c r="Y29" s="3"/>
      <c r="Z29" s="3"/>
      <c r="AA29" s="3"/>
      <c r="AB29" s="3"/>
      <c r="AC29" s="3"/>
    </row>
    <row r="30" spans="1:29" ht="17.45" customHeight="1" x14ac:dyDescent="0.2">
      <c r="A30" s="204" t="s">
        <v>178</v>
      </c>
      <c r="B30" s="101"/>
      <c r="C30" s="3"/>
      <c r="D30" s="3"/>
      <c r="E30" s="3"/>
      <c r="F30" s="7"/>
      <c r="G30" s="3"/>
      <c r="H30" s="3"/>
      <c r="I30" s="3"/>
      <c r="J30" s="3"/>
      <c r="K30" s="3"/>
      <c r="L30" s="3"/>
      <c r="M30" s="3"/>
      <c r="N30" s="3"/>
      <c r="O30" s="3"/>
      <c r="P30" s="3"/>
      <c r="Q30" s="3"/>
      <c r="R30" s="3"/>
      <c r="S30" s="3"/>
      <c r="T30" s="3"/>
      <c r="U30" s="3"/>
      <c r="V30" s="3"/>
      <c r="W30" s="3"/>
      <c r="X30" s="3"/>
      <c r="Y30" s="3"/>
      <c r="Z30" s="3"/>
      <c r="AA30" s="3"/>
      <c r="AB30" s="3"/>
      <c r="AC30" s="3"/>
    </row>
    <row r="31" spans="1:29" ht="30" x14ac:dyDescent="0.2">
      <c r="A31" s="20" t="s">
        <v>27</v>
      </c>
      <c r="B31" s="101"/>
      <c r="C31" s="3"/>
      <c r="D31" s="3"/>
      <c r="E31" s="3"/>
      <c r="F31" s="7"/>
      <c r="G31" s="3"/>
      <c r="H31" s="3"/>
      <c r="I31" s="3"/>
      <c r="J31" s="3"/>
      <c r="K31" s="3"/>
      <c r="L31" s="3"/>
      <c r="M31" s="3"/>
      <c r="N31" s="3"/>
      <c r="O31" s="3"/>
      <c r="P31" s="3"/>
      <c r="Q31" s="3"/>
      <c r="R31" s="3"/>
      <c r="S31" s="3"/>
      <c r="T31" s="3"/>
      <c r="U31" s="3"/>
      <c r="V31" s="3"/>
      <c r="W31" s="3"/>
      <c r="X31" s="3"/>
      <c r="Y31" s="3"/>
      <c r="Z31" s="3"/>
      <c r="AA31" s="3"/>
      <c r="AB31" s="3"/>
      <c r="AC31" s="3"/>
    </row>
    <row r="32" spans="1:29" ht="30" x14ac:dyDescent="0.2">
      <c r="A32" s="18" t="s">
        <v>28</v>
      </c>
      <c r="B32" s="101"/>
      <c r="C32" s="3"/>
      <c r="D32" s="3"/>
      <c r="E32" s="3"/>
      <c r="F32" s="7"/>
      <c r="G32" s="3"/>
      <c r="H32" s="3"/>
      <c r="I32" s="3"/>
      <c r="J32" s="3"/>
      <c r="K32" s="3"/>
      <c r="L32" s="3"/>
      <c r="M32" s="3"/>
      <c r="N32" s="3"/>
      <c r="O32" s="3"/>
      <c r="P32" s="3"/>
      <c r="Q32" s="3"/>
      <c r="R32" s="3"/>
      <c r="S32" s="3"/>
      <c r="T32" s="3"/>
      <c r="U32" s="3"/>
      <c r="V32" s="3"/>
      <c r="W32" s="3"/>
      <c r="X32" s="3"/>
      <c r="Y32" s="3"/>
      <c r="Z32" s="3"/>
      <c r="AA32" s="3"/>
      <c r="AB32" s="3"/>
      <c r="AC32" s="3"/>
    </row>
    <row r="33" spans="1:29" ht="45" x14ac:dyDescent="0.2">
      <c r="A33" s="22" t="s">
        <v>29</v>
      </c>
      <c r="B33" s="101"/>
      <c r="C33" s="3"/>
      <c r="D33" s="3"/>
      <c r="E33" s="3"/>
      <c r="F33" s="7"/>
      <c r="G33" s="3"/>
      <c r="H33" s="3"/>
      <c r="I33" s="3"/>
      <c r="J33" s="3"/>
      <c r="K33" s="3"/>
      <c r="L33" s="3"/>
      <c r="M33" s="3"/>
      <c r="N33" s="3"/>
      <c r="O33" s="3"/>
      <c r="P33" s="3"/>
      <c r="Q33" s="3"/>
      <c r="R33" s="3"/>
      <c r="S33" s="3"/>
      <c r="T33" s="3"/>
      <c r="U33" s="3"/>
      <c r="V33" s="3"/>
      <c r="W33" s="3"/>
      <c r="X33" s="3"/>
      <c r="Y33" s="3"/>
      <c r="Z33" s="3"/>
      <c r="AA33" s="3"/>
      <c r="AB33" s="3"/>
      <c r="AC33" s="3"/>
    </row>
    <row r="34" spans="1:29" x14ac:dyDescent="0.2">
      <c r="A34" s="22" t="s">
        <v>30</v>
      </c>
      <c r="B34" s="101"/>
      <c r="C34" s="3"/>
      <c r="D34" s="3"/>
      <c r="E34" s="3"/>
      <c r="F34" s="7"/>
      <c r="G34" s="3"/>
      <c r="H34" s="2"/>
      <c r="I34" s="3"/>
      <c r="J34" s="3"/>
    </row>
    <row r="35" spans="1:29" x14ac:dyDescent="0.2">
      <c r="A35" s="204" t="s">
        <v>31</v>
      </c>
      <c r="B35" s="101"/>
      <c r="C35" s="3"/>
      <c r="D35" s="3"/>
      <c r="E35" s="3"/>
      <c r="F35" s="7"/>
      <c r="G35" s="3"/>
      <c r="H35" s="2"/>
      <c r="I35" s="3"/>
      <c r="J35" s="3"/>
    </row>
    <row r="36" spans="1:29" x14ac:dyDescent="0.2">
      <c r="A36" s="204" t="s">
        <v>32</v>
      </c>
      <c r="B36" s="101"/>
      <c r="C36" s="3"/>
      <c r="D36" s="3"/>
      <c r="E36" s="3"/>
      <c r="F36" s="7"/>
      <c r="G36" s="3"/>
      <c r="H36" s="2"/>
      <c r="I36" s="3"/>
      <c r="J36" s="3"/>
    </row>
    <row r="37" spans="1:29" x14ac:dyDescent="0.2">
      <c r="A37" s="204" t="s">
        <v>33</v>
      </c>
      <c r="B37" s="101"/>
      <c r="C37" s="3"/>
      <c r="D37" s="3"/>
      <c r="E37" s="3"/>
      <c r="F37" s="7"/>
      <c r="G37" s="3"/>
      <c r="H37" s="2"/>
      <c r="I37" s="3"/>
      <c r="J37" s="3"/>
    </row>
    <row r="38" spans="1:29" ht="26.85" customHeight="1" x14ac:dyDescent="0.25">
      <c r="A38" s="203" t="s">
        <v>34</v>
      </c>
      <c r="B38" s="101"/>
      <c r="C38" s="3"/>
      <c r="D38" s="3"/>
      <c r="E38" s="3"/>
      <c r="F38" s="7"/>
      <c r="G38" s="3"/>
      <c r="H38" s="3"/>
      <c r="I38" s="3"/>
      <c r="J38" s="3"/>
    </row>
    <row r="39" spans="1:29" x14ac:dyDescent="0.2">
      <c r="A39" s="204" t="s">
        <v>21</v>
      </c>
      <c r="B39" s="8"/>
      <c r="C39" s="17"/>
      <c r="D39" s="3"/>
      <c r="E39" s="1"/>
      <c r="F39" s="3"/>
      <c r="G39" s="3"/>
      <c r="H39" s="3"/>
      <c r="I39" s="3"/>
      <c r="J39" s="3"/>
    </row>
    <row r="40" spans="1:29" ht="28.15" customHeight="1" x14ac:dyDescent="0.25">
      <c r="A40" s="203" t="s">
        <v>35</v>
      </c>
      <c r="B40" s="9"/>
      <c r="J40" s="9"/>
    </row>
    <row r="41" spans="1:29" ht="30" x14ac:dyDescent="0.2">
      <c r="A41" s="20" t="s">
        <v>36</v>
      </c>
      <c r="B41" s="11"/>
      <c r="C41" s="12"/>
      <c r="D41" s="3"/>
      <c r="E41" s="3"/>
      <c r="F41" s="12"/>
      <c r="G41" s="3"/>
      <c r="H41" s="3"/>
      <c r="I41" s="3"/>
      <c r="J41" s="3"/>
    </row>
    <row r="42" spans="1:29" ht="30" x14ac:dyDescent="0.2">
      <c r="A42" s="20" t="s">
        <v>37</v>
      </c>
      <c r="B42" s="11"/>
      <c r="C42" s="12"/>
      <c r="D42" s="3"/>
      <c r="E42" s="3"/>
      <c r="F42" s="12"/>
      <c r="G42" s="3"/>
      <c r="H42" s="3"/>
      <c r="I42" s="3"/>
      <c r="J42" s="3"/>
    </row>
    <row r="43" spans="1:29" x14ac:dyDescent="0.2">
      <c r="A43" s="204" t="s">
        <v>21</v>
      </c>
      <c r="B43" s="8"/>
      <c r="C43" s="8"/>
      <c r="D43" s="3"/>
      <c r="E43" s="3"/>
      <c r="F43" s="3"/>
      <c r="G43" s="3"/>
      <c r="H43" s="3"/>
      <c r="I43" s="3"/>
      <c r="J43" s="3"/>
    </row>
    <row r="44" spans="1:29" ht="31.15" customHeight="1" x14ac:dyDescent="0.25">
      <c r="A44" s="197" t="s">
        <v>38</v>
      </c>
      <c r="B44" s="199"/>
      <c r="C44" s="4"/>
    </row>
    <row r="45" spans="1:29" x14ac:dyDescent="0.2">
      <c r="A45" s="18" t="s">
        <v>39</v>
      </c>
      <c r="B45" s="101"/>
      <c r="C45" s="17"/>
      <c r="D45" s="3"/>
      <c r="E45" s="3"/>
      <c r="F45" s="3"/>
      <c r="G45" s="3"/>
      <c r="H45" s="3"/>
      <c r="I45" s="3"/>
      <c r="J45" s="3"/>
    </row>
    <row r="46" spans="1:29" ht="31.15" customHeight="1" x14ac:dyDescent="0.25">
      <c r="A46" s="197" t="s">
        <v>40</v>
      </c>
      <c r="B46" s="206"/>
      <c r="C46" s="5"/>
    </row>
    <row r="47" spans="1:29" x14ac:dyDescent="0.2">
      <c r="A47" s="22" t="s">
        <v>41</v>
      </c>
      <c r="B47" s="19"/>
      <c r="C47" s="17"/>
    </row>
    <row r="48" spans="1:29" ht="30.4" customHeight="1" x14ac:dyDescent="0.2">
      <c r="A48" s="20" t="s">
        <v>42</v>
      </c>
      <c r="B48" s="18"/>
      <c r="C48" s="17"/>
      <c r="D48" s="3"/>
      <c r="E48" s="3"/>
      <c r="F48" s="3"/>
      <c r="G48" s="3"/>
      <c r="H48" s="3"/>
      <c r="I48" s="3"/>
      <c r="J48" s="3"/>
      <c r="K48" s="3"/>
      <c r="L48" s="3"/>
      <c r="M48" s="3"/>
      <c r="N48" s="3"/>
      <c r="O48" s="3"/>
      <c r="P48" s="13"/>
      <c r="Q48" s="3"/>
      <c r="R48" s="13"/>
    </row>
    <row r="49" spans="1:18" x14ac:dyDescent="0.2">
      <c r="A49" s="204" t="s">
        <v>43</v>
      </c>
      <c r="B49" s="18"/>
      <c r="C49" s="17"/>
      <c r="D49" s="3"/>
      <c r="E49" s="3"/>
      <c r="F49" s="3"/>
      <c r="G49" s="3"/>
      <c r="H49" s="3"/>
      <c r="I49" s="3"/>
      <c r="J49" s="3"/>
      <c r="K49" s="3"/>
      <c r="L49" s="3"/>
      <c r="M49" s="3"/>
      <c r="N49" s="3"/>
      <c r="O49" s="3"/>
      <c r="P49" s="13"/>
      <c r="Q49" s="3"/>
      <c r="R49" s="13"/>
    </row>
    <row r="50" spans="1:18" x14ac:dyDescent="0.2">
      <c r="A50" s="20" t="s">
        <v>44</v>
      </c>
      <c r="B50" s="18"/>
      <c r="C50" s="17"/>
      <c r="D50" s="3"/>
      <c r="E50" s="3"/>
      <c r="F50" s="3"/>
      <c r="G50" s="3"/>
      <c r="H50" s="7"/>
      <c r="I50" s="3"/>
      <c r="J50" s="7"/>
      <c r="K50" s="3"/>
      <c r="L50" s="3"/>
      <c r="M50" s="3"/>
      <c r="N50" s="3"/>
      <c r="O50" s="3"/>
      <c r="P50" s="3"/>
      <c r="Q50" s="3"/>
      <c r="R50" s="3"/>
    </row>
    <row r="51" spans="1:18" x14ac:dyDescent="0.2">
      <c r="A51" s="204" t="s">
        <v>45</v>
      </c>
      <c r="B51" s="18"/>
      <c r="C51" s="17"/>
      <c r="D51" s="3"/>
      <c r="E51" s="3"/>
      <c r="F51" s="3"/>
      <c r="G51" s="3"/>
      <c r="H51" s="7"/>
      <c r="I51" s="3"/>
      <c r="J51" s="7"/>
      <c r="K51" s="3"/>
      <c r="L51" s="3"/>
      <c r="M51" s="3"/>
      <c r="N51" s="3"/>
      <c r="O51" s="3"/>
      <c r="P51" s="3"/>
      <c r="Q51" s="3"/>
      <c r="R51" s="3"/>
    </row>
    <row r="52" spans="1:18" ht="30" customHeight="1" x14ac:dyDescent="0.2">
      <c r="A52" s="20" t="s">
        <v>46</v>
      </c>
      <c r="B52" s="18"/>
      <c r="C52" s="17"/>
      <c r="D52" s="3"/>
      <c r="E52" s="3"/>
      <c r="F52" s="3"/>
      <c r="G52" s="3"/>
      <c r="H52" s="3"/>
      <c r="I52" s="3"/>
      <c r="J52" s="3"/>
      <c r="K52" s="3"/>
      <c r="L52" s="3"/>
      <c r="M52" s="3"/>
      <c r="N52" s="3"/>
      <c r="O52" s="3"/>
      <c r="P52" s="3"/>
      <c r="Q52" s="3"/>
      <c r="R52" s="3"/>
    </row>
    <row r="53" spans="1:18" ht="30.4" customHeight="1" x14ac:dyDescent="0.2">
      <c r="A53" s="20" t="s">
        <v>47</v>
      </c>
      <c r="B53" s="18"/>
      <c r="C53" s="17"/>
      <c r="D53" s="7"/>
      <c r="E53" s="7"/>
      <c r="F53" s="3"/>
      <c r="G53" s="3"/>
      <c r="H53" s="3"/>
      <c r="I53" s="3"/>
      <c r="J53" s="3"/>
      <c r="K53" s="3"/>
      <c r="L53" s="3"/>
      <c r="M53" s="3"/>
      <c r="N53" s="3"/>
      <c r="O53" s="3"/>
      <c r="P53" s="3"/>
      <c r="Q53" s="3"/>
      <c r="R53" s="3"/>
    </row>
    <row r="54" spans="1:18" x14ac:dyDescent="0.2">
      <c r="A54" s="204" t="s">
        <v>48</v>
      </c>
      <c r="B54" s="18"/>
      <c r="C54" s="17"/>
      <c r="D54" s="7"/>
      <c r="E54" s="7"/>
      <c r="F54" s="3"/>
      <c r="G54" s="3"/>
      <c r="H54" s="3"/>
      <c r="I54" s="3"/>
      <c r="J54" s="3"/>
      <c r="K54" s="3"/>
      <c r="L54" s="3"/>
      <c r="M54" s="3"/>
      <c r="N54" s="3"/>
      <c r="O54" s="3"/>
      <c r="P54" s="3"/>
      <c r="Q54" s="3"/>
      <c r="R54" s="3"/>
    </row>
    <row r="55" spans="1:18" x14ac:dyDescent="0.2">
      <c r="A55" s="20" t="s">
        <v>49</v>
      </c>
      <c r="B55" s="18"/>
      <c r="C55" s="17"/>
      <c r="D55" s="3"/>
      <c r="E55" s="3"/>
      <c r="F55" s="14"/>
      <c r="G55" s="3"/>
      <c r="H55" s="3"/>
      <c r="I55" s="3"/>
      <c r="J55" s="3"/>
      <c r="K55" s="3"/>
      <c r="L55" s="3"/>
      <c r="M55" s="3"/>
      <c r="N55" s="3"/>
      <c r="O55" s="3"/>
      <c r="P55" s="3"/>
      <c r="Q55" s="3"/>
      <c r="R55" s="3"/>
    </row>
    <row r="56" spans="1:18" x14ac:dyDescent="0.2">
      <c r="A56" s="204" t="s">
        <v>21</v>
      </c>
      <c r="B56" s="19"/>
      <c r="C56" s="17"/>
      <c r="D56" s="3"/>
      <c r="E56" s="3"/>
      <c r="F56" s="3"/>
      <c r="G56" s="3"/>
      <c r="H56" s="3"/>
      <c r="I56" s="3"/>
      <c r="J56" s="3"/>
      <c r="K56" s="3"/>
      <c r="L56" s="3"/>
      <c r="M56" s="3"/>
      <c r="N56" s="3"/>
      <c r="O56" s="3"/>
      <c r="P56" s="3"/>
      <c r="Q56" s="3"/>
      <c r="R56" s="3"/>
    </row>
  </sheetData>
  <conditionalFormatting sqref="Q23:Q24 T23:T24 W23:W24 Z23:Z24 AC23:AC24">
    <cfRule type="expression" dxfId="5" priority="1">
      <formula>IF(R23="b",TRUE,FALSE)</formula>
    </cfRule>
    <cfRule type="expression" dxfId="4" priority="2">
      <formula>IF(R23="c",TRUE,FALSE)</formula>
    </cfRule>
    <cfRule type="expression" dxfId="3" priority="3">
      <formula>IF(R23="d",TRUE,FALSE)</formula>
    </cfRule>
  </conditionalFormatting>
  <hyperlinks>
    <hyperlink ref="A56" r:id="rId1" xr:uid="{00000000-0004-0000-0000-000000000000}"/>
    <hyperlink ref="A24" r:id="rId2" xr:uid="{00000000-0004-0000-0000-000002000000}"/>
    <hyperlink ref="A39" r:id="rId3" xr:uid="{00000000-0004-0000-0000-000003000000}"/>
    <hyperlink ref="A30" r:id="rId4" display="Families and Households Quality and Methodology Information (QMI)" xr:uid="{00000000-0004-0000-0000-000004000000}"/>
    <hyperlink ref="A51" r:id="rId5" display="psi@nationalarchives.gov.uk" xr:uid="{00000000-0004-0000-0000-000005000000}"/>
    <hyperlink ref="A54" r:id="rId6" xr:uid="{00000000-0004-0000-0000-000006000000}"/>
    <hyperlink ref="A43" r:id="rId7" xr:uid="{00000000-0004-0000-0000-000007000000}"/>
    <hyperlink ref="A49" r:id="rId8" xr:uid="{00000000-0004-0000-0000-000008000000}"/>
    <hyperlink ref="A35" r:id="rId9" xr:uid="{00000000-0004-0000-0000-000009000000}"/>
    <hyperlink ref="A36" r:id="rId10" xr:uid="{00000000-0004-0000-0000-00000A000000}"/>
    <hyperlink ref="A37" r:id="rId11" display="https://www.nisra.gov.uk/statistics/population/household-projections" xr:uid="{00000000-0004-0000-0000-00000B000000}"/>
  </hyperlinks>
  <pageMargins left="0.7" right="0.7" top="0.75" bottom="0.75" header="0.3" footer="0.3"/>
  <pageSetup paperSize="9" orientation="portrait" horizontalDpi="300" verticalDpi="300"/>
  <tableParts count="1">
    <tablePart r:id="rId1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6"/>
  <sheetViews>
    <sheetView showGridLines="0" workbookViewId="0"/>
  </sheetViews>
  <sheetFormatPr defaultColWidth="10.88671875" defaultRowHeight="15" x14ac:dyDescent="0.2"/>
  <cols>
    <col min="1" max="1" width="15.6640625" customWidth="1"/>
    <col min="2" max="2" width="100.6640625" customWidth="1"/>
    <col min="257" max="257" width="14.21875" customWidth="1"/>
    <col min="258" max="258" width="76.21875" customWidth="1"/>
    <col min="513" max="513" width="14.21875" customWidth="1"/>
    <col min="514" max="514" width="76.21875" customWidth="1"/>
    <col min="769" max="769" width="14.21875" customWidth="1"/>
    <col min="770" max="770" width="76.21875" customWidth="1"/>
    <col min="1025" max="1025" width="14.21875" customWidth="1"/>
    <col min="1026" max="1026" width="76.21875" customWidth="1"/>
    <col min="1281" max="1281" width="14.21875" customWidth="1"/>
    <col min="1282" max="1282" width="76.21875" customWidth="1"/>
    <col min="1537" max="1537" width="14.21875" customWidth="1"/>
    <col min="1538" max="1538" width="76.21875" customWidth="1"/>
    <col min="1793" max="1793" width="14.21875" customWidth="1"/>
    <col min="1794" max="1794" width="76.21875" customWidth="1"/>
    <col min="2049" max="2049" width="14.21875" customWidth="1"/>
    <col min="2050" max="2050" width="76.21875" customWidth="1"/>
    <col min="2305" max="2305" width="14.21875" customWidth="1"/>
    <col min="2306" max="2306" width="76.21875" customWidth="1"/>
    <col min="2561" max="2561" width="14.21875" customWidth="1"/>
    <col min="2562" max="2562" width="76.21875" customWidth="1"/>
    <col min="2817" max="2817" width="14.21875" customWidth="1"/>
    <col min="2818" max="2818" width="76.21875" customWidth="1"/>
    <col min="3073" max="3073" width="14.21875" customWidth="1"/>
    <col min="3074" max="3074" width="76.21875" customWidth="1"/>
    <col min="3329" max="3329" width="14.21875" customWidth="1"/>
    <col min="3330" max="3330" width="76.21875" customWidth="1"/>
    <col min="3585" max="3585" width="14.21875" customWidth="1"/>
    <col min="3586" max="3586" width="76.21875" customWidth="1"/>
    <col min="3841" max="3841" width="14.21875" customWidth="1"/>
    <col min="3842" max="3842" width="76.21875" customWidth="1"/>
    <col min="4097" max="4097" width="14.21875" customWidth="1"/>
    <col min="4098" max="4098" width="76.21875" customWidth="1"/>
    <col min="4353" max="4353" width="14.21875" customWidth="1"/>
    <col min="4354" max="4354" width="76.21875" customWidth="1"/>
    <col min="4609" max="4609" width="14.21875" customWidth="1"/>
    <col min="4610" max="4610" width="76.21875" customWidth="1"/>
    <col min="4865" max="4865" width="14.21875" customWidth="1"/>
    <col min="4866" max="4866" width="76.21875" customWidth="1"/>
    <col min="5121" max="5121" width="14.21875" customWidth="1"/>
    <col min="5122" max="5122" width="76.21875" customWidth="1"/>
    <col min="5377" max="5377" width="14.21875" customWidth="1"/>
    <col min="5378" max="5378" width="76.21875" customWidth="1"/>
    <col min="5633" max="5633" width="14.21875" customWidth="1"/>
    <col min="5634" max="5634" width="76.21875" customWidth="1"/>
    <col min="5889" max="5889" width="14.21875" customWidth="1"/>
    <col min="5890" max="5890" width="76.21875" customWidth="1"/>
    <col min="6145" max="6145" width="14.21875" customWidth="1"/>
    <col min="6146" max="6146" width="76.21875" customWidth="1"/>
    <col min="6401" max="6401" width="14.21875" customWidth="1"/>
    <col min="6402" max="6402" width="76.21875" customWidth="1"/>
    <col min="6657" max="6657" width="14.21875" customWidth="1"/>
    <col min="6658" max="6658" width="76.21875" customWidth="1"/>
    <col min="6913" max="6913" width="14.21875" customWidth="1"/>
    <col min="6914" max="6914" width="76.21875" customWidth="1"/>
    <col min="7169" max="7169" width="14.21875" customWidth="1"/>
    <col min="7170" max="7170" width="76.21875" customWidth="1"/>
    <col min="7425" max="7425" width="14.21875" customWidth="1"/>
    <col min="7426" max="7426" width="76.21875" customWidth="1"/>
    <col min="7681" max="7681" width="14.21875" customWidth="1"/>
    <col min="7682" max="7682" width="76.21875" customWidth="1"/>
    <col min="7937" max="7937" width="14.21875" customWidth="1"/>
    <col min="7938" max="7938" width="76.21875" customWidth="1"/>
    <col min="8193" max="8193" width="14.21875" customWidth="1"/>
    <col min="8194" max="8194" width="76.21875" customWidth="1"/>
    <col min="8449" max="8449" width="14.21875" customWidth="1"/>
    <col min="8450" max="8450" width="76.21875" customWidth="1"/>
    <col min="8705" max="8705" width="14.21875" customWidth="1"/>
    <col min="8706" max="8706" width="76.21875" customWidth="1"/>
    <col min="8961" max="8961" width="14.21875" customWidth="1"/>
    <col min="8962" max="8962" width="76.21875" customWidth="1"/>
    <col min="9217" max="9217" width="14.21875" customWidth="1"/>
    <col min="9218" max="9218" width="76.21875" customWidth="1"/>
    <col min="9473" max="9473" width="14.21875" customWidth="1"/>
    <col min="9474" max="9474" width="76.21875" customWidth="1"/>
    <col min="9729" max="9729" width="14.21875" customWidth="1"/>
    <col min="9730" max="9730" width="76.21875" customWidth="1"/>
    <col min="9985" max="9985" width="14.21875" customWidth="1"/>
    <col min="9986" max="9986" width="76.21875" customWidth="1"/>
    <col min="10241" max="10241" width="14.21875" customWidth="1"/>
    <col min="10242" max="10242" width="76.21875" customWidth="1"/>
    <col min="10497" max="10497" width="14.21875" customWidth="1"/>
    <col min="10498" max="10498" width="76.21875" customWidth="1"/>
    <col min="10753" max="10753" width="14.21875" customWidth="1"/>
    <col min="10754" max="10754" width="76.21875" customWidth="1"/>
    <col min="11009" max="11009" width="14.21875" customWidth="1"/>
    <col min="11010" max="11010" width="76.21875" customWidth="1"/>
    <col min="11265" max="11265" width="14.21875" customWidth="1"/>
    <col min="11266" max="11266" width="76.21875" customWidth="1"/>
    <col min="11521" max="11521" width="14.21875" customWidth="1"/>
    <col min="11522" max="11522" width="76.21875" customWidth="1"/>
    <col min="11777" max="11777" width="14.21875" customWidth="1"/>
    <col min="11778" max="11778" width="76.21875" customWidth="1"/>
    <col min="12033" max="12033" width="14.21875" customWidth="1"/>
    <col min="12034" max="12034" width="76.21875" customWidth="1"/>
    <col min="12289" max="12289" width="14.21875" customWidth="1"/>
    <col min="12290" max="12290" width="76.21875" customWidth="1"/>
    <col min="12545" max="12545" width="14.21875" customWidth="1"/>
    <col min="12546" max="12546" width="76.21875" customWidth="1"/>
    <col min="12801" max="12801" width="14.21875" customWidth="1"/>
    <col min="12802" max="12802" width="76.21875" customWidth="1"/>
    <col min="13057" max="13057" width="14.21875" customWidth="1"/>
    <col min="13058" max="13058" width="76.21875" customWidth="1"/>
    <col min="13313" max="13313" width="14.21875" customWidth="1"/>
    <col min="13314" max="13314" width="76.21875" customWidth="1"/>
    <col min="13569" max="13569" width="14.21875" customWidth="1"/>
    <col min="13570" max="13570" width="76.21875" customWidth="1"/>
    <col min="13825" max="13825" width="14.21875" customWidth="1"/>
    <col min="13826" max="13826" width="76.21875" customWidth="1"/>
    <col min="14081" max="14081" width="14.21875" customWidth="1"/>
    <col min="14082" max="14082" width="76.21875" customWidth="1"/>
    <col min="14337" max="14337" width="14.21875" customWidth="1"/>
    <col min="14338" max="14338" width="76.21875" customWidth="1"/>
    <col min="14593" max="14593" width="14.21875" customWidth="1"/>
    <col min="14594" max="14594" width="76.21875" customWidth="1"/>
    <col min="14849" max="14849" width="14.21875" customWidth="1"/>
    <col min="14850" max="14850" width="76.21875" customWidth="1"/>
    <col min="15105" max="15105" width="14.21875" customWidth="1"/>
    <col min="15106" max="15106" width="76.21875" customWidth="1"/>
    <col min="15361" max="15361" width="14.21875" customWidth="1"/>
    <col min="15362" max="15362" width="76.21875" customWidth="1"/>
    <col min="15617" max="15617" width="14.21875" customWidth="1"/>
    <col min="15618" max="15618" width="76.21875" customWidth="1"/>
    <col min="15873" max="15873" width="14.21875" customWidth="1"/>
    <col min="15874" max="15874" width="76.21875" customWidth="1"/>
    <col min="16129" max="16129" width="14.21875" customWidth="1"/>
    <col min="16130" max="16130" width="76.21875" customWidth="1"/>
  </cols>
  <sheetData>
    <row r="1" spans="1:2" ht="31.15" customHeight="1" x14ac:dyDescent="0.2">
      <c r="A1" s="210" t="s">
        <v>18</v>
      </c>
      <c r="B1" s="196"/>
    </row>
    <row r="2" spans="1:2" x14ac:dyDescent="0.2">
      <c r="A2" s="19" t="s">
        <v>50</v>
      </c>
      <c r="B2" s="196"/>
    </row>
    <row r="3" spans="1:2" ht="16.899999999999999" customHeight="1" x14ac:dyDescent="0.25">
      <c r="A3" s="207" t="s">
        <v>51</v>
      </c>
      <c r="B3" s="208" t="s">
        <v>52</v>
      </c>
    </row>
    <row r="4" spans="1:2" ht="60" x14ac:dyDescent="0.2">
      <c r="A4" s="26">
        <v>1</v>
      </c>
      <c r="B4" s="209" t="s">
        <v>53</v>
      </c>
    </row>
    <row r="5" spans="1:2" ht="16.899999999999999" customHeight="1" x14ac:dyDescent="0.25">
      <c r="A5" s="25"/>
      <c r="B5" s="25"/>
    </row>
    <row r="6" spans="1:2" ht="16.899999999999999" customHeight="1" x14ac:dyDescent="0.25">
      <c r="A6" s="25"/>
      <c r="B6" s="25"/>
    </row>
  </sheetData>
  <pageMargins left="0.7" right="0.7" top="0.75" bottom="0.75" header="0.3" footer="0.3"/>
  <pageSetup paperSize="9" orientation="portrait" horizontalDpi="30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V18"/>
  <sheetViews>
    <sheetView showGridLines="0" workbookViewId="0"/>
  </sheetViews>
  <sheetFormatPr defaultColWidth="10.88671875" defaultRowHeight="15" x14ac:dyDescent="0.2"/>
  <cols>
    <col min="1" max="2" width="15.6640625" customWidth="1"/>
    <col min="3" max="3" width="85.6640625" customWidth="1"/>
    <col min="6" max="6" width="15.21875" customWidth="1"/>
  </cols>
  <sheetData>
    <row r="1" spans="1:256" ht="31.15" customHeight="1" x14ac:dyDescent="0.3">
      <c r="A1" s="121" t="s">
        <v>54</v>
      </c>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c r="CO1" s="15"/>
      <c r="CP1" s="15"/>
      <c r="CQ1" s="15"/>
      <c r="CR1" s="15"/>
      <c r="CS1" s="15"/>
      <c r="CT1" s="15"/>
      <c r="CU1" s="15"/>
      <c r="CV1" s="15"/>
      <c r="CW1" s="15"/>
      <c r="CX1" s="15"/>
      <c r="CY1" s="15"/>
      <c r="CZ1" s="15"/>
      <c r="DA1" s="15"/>
      <c r="DB1" s="15"/>
      <c r="DC1" s="15"/>
      <c r="DD1" s="15"/>
      <c r="DE1" s="15"/>
      <c r="DF1" s="15"/>
      <c r="DG1" s="15"/>
      <c r="DH1" s="15"/>
      <c r="DI1" s="15"/>
      <c r="DJ1" s="15"/>
      <c r="DK1" s="15"/>
      <c r="DL1" s="15"/>
      <c r="DM1" s="15"/>
      <c r="DN1" s="15"/>
      <c r="DO1" s="15"/>
      <c r="DP1" s="15"/>
      <c r="DQ1" s="15"/>
      <c r="DR1" s="15"/>
      <c r="DS1" s="15"/>
      <c r="DT1" s="15"/>
      <c r="DU1" s="15"/>
      <c r="DV1" s="15"/>
      <c r="DW1" s="15"/>
      <c r="DX1" s="15"/>
      <c r="DY1" s="15"/>
      <c r="DZ1" s="15"/>
      <c r="EA1" s="15"/>
      <c r="EB1" s="15"/>
      <c r="EC1" s="15"/>
      <c r="ED1" s="15"/>
      <c r="EE1" s="15"/>
      <c r="EF1" s="15"/>
      <c r="EG1" s="15"/>
      <c r="EH1" s="15"/>
      <c r="EI1" s="15"/>
      <c r="EJ1" s="15"/>
      <c r="EK1" s="15"/>
      <c r="EL1" s="15"/>
      <c r="EM1" s="15"/>
      <c r="EN1" s="15"/>
      <c r="EO1" s="15"/>
      <c r="EP1" s="15"/>
      <c r="EQ1" s="15"/>
      <c r="ER1" s="15"/>
      <c r="ES1" s="15"/>
      <c r="ET1" s="15"/>
      <c r="EU1" s="15"/>
      <c r="EV1" s="15"/>
      <c r="EW1" s="15"/>
      <c r="EX1" s="15"/>
      <c r="EY1" s="15"/>
      <c r="EZ1" s="15"/>
      <c r="FA1" s="15"/>
      <c r="FB1" s="15"/>
      <c r="FC1" s="15"/>
      <c r="FD1" s="15"/>
      <c r="FE1" s="15"/>
      <c r="FF1" s="15"/>
      <c r="FG1" s="15"/>
      <c r="FH1" s="15"/>
      <c r="FI1" s="15"/>
      <c r="FJ1" s="15"/>
      <c r="FK1" s="15"/>
      <c r="FL1" s="15"/>
      <c r="FM1" s="15"/>
      <c r="FN1" s="15"/>
      <c r="FO1" s="15"/>
      <c r="FP1" s="15"/>
      <c r="FQ1" s="15"/>
      <c r="FR1" s="15"/>
      <c r="FS1" s="15"/>
      <c r="FT1" s="15"/>
      <c r="FU1" s="15"/>
      <c r="FV1" s="15"/>
      <c r="FW1" s="15"/>
      <c r="FX1" s="15"/>
      <c r="FY1" s="15"/>
      <c r="FZ1" s="15"/>
      <c r="GA1" s="15"/>
      <c r="GB1" s="15"/>
      <c r="GC1" s="15"/>
      <c r="GD1" s="15"/>
      <c r="GE1" s="15"/>
      <c r="GF1" s="15"/>
      <c r="GG1" s="15"/>
      <c r="GH1" s="15"/>
      <c r="GI1" s="15"/>
      <c r="GJ1" s="15"/>
      <c r="GK1" s="15"/>
      <c r="GL1" s="15"/>
      <c r="GM1" s="15"/>
      <c r="GN1" s="15"/>
      <c r="GO1" s="15"/>
      <c r="GP1" s="15"/>
      <c r="GQ1" s="15"/>
      <c r="GR1" s="15"/>
      <c r="GS1" s="15"/>
      <c r="GT1" s="15"/>
      <c r="GU1" s="15"/>
      <c r="GV1" s="15"/>
      <c r="GW1" s="15"/>
      <c r="GX1" s="15"/>
      <c r="GY1" s="15"/>
      <c r="GZ1" s="15"/>
      <c r="HA1" s="15"/>
      <c r="HB1" s="15"/>
      <c r="HC1" s="15"/>
      <c r="HD1" s="15"/>
      <c r="HE1" s="15"/>
      <c r="HF1" s="15"/>
      <c r="HG1" s="15"/>
      <c r="HH1" s="15"/>
      <c r="HI1" s="15"/>
      <c r="HJ1" s="15"/>
      <c r="HK1" s="15"/>
      <c r="HL1" s="15"/>
      <c r="HM1" s="15"/>
      <c r="HN1" s="15"/>
      <c r="HO1" s="15"/>
      <c r="HP1" s="15"/>
      <c r="HQ1" s="15"/>
      <c r="HR1" s="15"/>
      <c r="HS1" s="15"/>
      <c r="HT1" s="15"/>
      <c r="HU1" s="15"/>
      <c r="HV1" s="15"/>
      <c r="HW1" s="15"/>
      <c r="HX1" s="15"/>
      <c r="HY1" s="15"/>
      <c r="HZ1" s="15"/>
      <c r="IA1" s="15"/>
      <c r="IB1" s="15"/>
      <c r="IC1" s="15"/>
      <c r="ID1" s="15"/>
      <c r="IE1" s="15"/>
      <c r="IF1" s="15"/>
      <c r="IG1" s="15"/>
      <c r="IH1" s="15"/>
      <c r="II1" s="15"/>
      <c r="IJ1" s="15"/>
      <c r="IK1" s="15"/>
      <c r="IL1" s="15"/>
      <c r="IM1" s="15"/>
      <c r="IN1" s="15"/>
      <c r="IO1" s="15"/>
      <c r="IP1" s="15"/>
      <c r="IQ1" s="15"/>
      <c r="IR1" s="15"/>
      <c r="IS1" s="15"/>
      <c r="IT1" s="15"/>
      <c r="IU1" s="15"/>
      <c r="IV1" s="15"/>
    </row>
    <row r="2" spans="1:256" ht="15" customHeight="1" x14ac:dyDescent="0.2">
      <c r="A2" s="3" t="s">
        <v>55</v>
      </c>
      <c r="B2" s="2"/>
      <c r="C2" s="2"/>
      <c r="D2" s="2"/>
      <c r="E2" s="2"/>
      <c r="F2" s="2"/>
      <c r="G2" s="2"/>
      <c r="H2" s="2"/>
      <c r="I2" s="2"/>
      <c r="J2" s="2"/>
      <c r="K2" s="2"/>
      <c r="L2" s="2"/>
      <c r="M2" s="2"/>
      <c r="N2" s="2"/>
      <c r="O2" s="2"/>
      <c r="P2" s="2"/>
      <c r="Q2" s="2"/>
      <c r="R2" s="2"/>
      <c r="S2" s="2"/>
      <c r="T2" s="2"/>
      <c r="U2" s="2"/>
      <c r="V2" s="2"/>
      <c r="W2" s="2"/>
    </row>
    <row r="3" spans="1:256" ht="15" customHeight="1" x14ac:dyDescent="0.2">
      <c r="A3" s="2" t="s">
        <v>56</v>
      </c>
      <c r="B3" s="2"/>
      <c r="C3" s="2"/>
      <c r="D3" s="3"/>
      <c r="E3" s="3"/>
      <c r="F3" s="3"/>
      <c r="J3" s="3"/>
      <c r="K3" s="2"/>
      <c r="L3" s="3"/>
      <c r="M3" s="2"/>
      <c r="N3" s="3"/>
      <c r="O3" s="3"/>
      <c r="P3" s="3"/>
      <c r="Q3" s="3"/>
      <c r="R3" s="3"/>
      <c r="S3" s="2"/>
      <c r="T3" s="2"/>
      <c r="U3" s="2"/>
      <c r="V3" s="2"/>
      <c r="W3" s="2"/>
    </row>
    <row r="4" spans="1:256" ht="15.6" customHeight="1" x14ac:dyDescent="0.25">
      <c r="A4" s="3" t="s">
        <v>57</v>
      </c>
      <c r="B4" s="2"/>
      <c r="C4" s="2"/>
      <c r="D4" s="3"/>
      <c r="E4" s="3"/>
      <c r="F4" s="3"/>
      <c r="J4" s="3"/>
      <c r="K4" s="2"/>
      <c r="L4" s="3"/>
      <c r="M4" s="2"/>
      <c r="N4" s="3"/>
      <c r="O4" s="3"/>
      <c r="P4" s="3"/>
      <c r="Q4" s="3"/>
      <c r="R4" s="3"/>
      <c r="S4" s="2"/>
      <c r="T4" s="2"/>
      <c r="U4" s="2"/>
      <c r="V4" s="2"/>
      <c r="W4" s="2"/>
    </row>
    <row r="5" spans="1:256" ht="15" customHeight="1" x14ac:dyDescent="0.2">
      <c r="A5" s="6" t="s">
        <v>58</v>
      </c>
      <c r="B5" s="2"/>
      <c r="C5" s="2"/>
      <c r="D5" s="2"/>
      <c r="E5" s="2"/>
      <c r="F5" s="2"/>
      <c r="G5" s="2"/>
      <c r="H5" s="2"/>
      <c r="I5" s="2"/>
      <c r="J5" s="2"/>
      <c r="K5" s="2"/>
      <c r="L5" s="2"/>
      <c r="M5" s="2"/>
      <c r="N5" s="2"/>
      <c r="O5" s="2"/>
      <c r="P5" s="2"/>
      <c r="Q5" s="2"/>
      <c r="R5" s="2"/>
      <c r="S5" s="2"/>
      <c r="T5" s="2"/>
      <c r="U5" s="2"/>
      <c r="V5" s="2"/>
      <c r="W5" s="2"/>
    </row>
    <row r="6" spans="1:256" ht="31.15" customHeight="1" x14ac:dyDescent="0.25">
      <c r="A6" s="27" t="s">
        <v>59</v>
      </c>
      <c r="B6" s="28" t="s">
        <v>60</v>
      </c>
      <c r="C6" s="28" t="s">
        <v>61</v>
      </c>
      <c r="D6" s="28"/>
      <c r="E6" s="28"/>
      <c r="F6" s="28"/>
      <c r="G6" s="28"/>
      <c r="H6" s="28"/>
      <c r="I6" s="28"/>
      <c r="J6" s="28"/>
      <c r="K6" s="28"/>
      <c r="L6" s="28"/>
      <c r="M6" s="28"/>
      <c r="N6" s="28"/>
      <c r="O6" s="28"/>
      <c r="P6" s="28"/>
      <c r="Q6" s="28"/>
      <c r="R6" s="28"/>
      <c r="S6" s="28"/>
      <c r="T6" s="28"/>
      <c r="U6" s="28"/>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9"/>
      <c r="BK6" s="29"/>
      <c r="BL6" s="29"/>
      <c r="BM6" s="29"/>
      <c r="BN6" s="29"/>
      <c r="BO6" s="29"/>
      <c r="BP6" s="29"/>
      <c r="BQ6" s="29"/>
      <c r="BR6" s="29"/>
      <c r="BS6" s="29"/>
      <c r="BT6" s="29"/>
      <c r="BU6" s="29"/>
      <c r="BV6" s="29"/>
      <c r="BW6" s="29"/>
      <c r="BX6" s="29"/>
      <c r="BY6" s="29"/>
      <c r="BZ6" s="29"/>
      <c r="CA6" s="29"/>
      <c r="CB6" s="29"/>
      <c r="CC6" s="29"/>
      <c r="CD6" s="29"/>
      <c r="CE6" s="29"/>
      <c r="CF6" s="29"/>
      <c r="CG6" s="29"/>
      <c r="CH6" s="29"/>
      <c r="CI6" s="29"/>
      <c r="CJ6" s="29"/>
      <c r="CK6" s="29"/>
      <c r="CL6" s="29"/>
      <c r="CM6" s="29"/>
      <c r="CN6" s="29"/>
      <c r="CO6" s="29"/>
      <c r="CP6" s="29"/>
      <c r="CQ6" s="29"/>
      <c r="CR6" s="29"/>
      <c r="CS6" s="29"/>
      <c r="CT6" s="29"/>
      <c r="CU6" s="29"/>
      <c r="CV6" s="29"/>
      <c r="CW6" s="29"/>
      <c r="CX6" s="29"/>
      <c r="CY6" s="29"/>
      <c r="CZ6" s="29"/>
      <c r="DA6" s="29"/>
      <c r="DB6" s="29"/>
      <c r="DC6" s="29"/>
      <c r="DD6" s="29"/>
      <c r="DE6" s="29"/>
      <c r="DF6" s="29"/>
      <c r="DG6" s="29"/>
      <c r="DH6" s="29"/>
      <c r="DI6" s="29"/>
      <c r="DJ6" s="29"/>
      <c r="DK6" s="29"/>
      <c r="DL6" s="29"/>
      <c r="DM6" s="29"/>
      <c r="DN6" s="29"/>
      <c r="DO6" s="29"/>
      <c r="DP6" s="29"/>
      <c r="DQ6" s="29"/>
      <c r="DR6" s="29"/>
      <c r="DS6" s="29"/>
      <c r="DT6" s="29"/>
      <c r="DU6" s="29"/>
      <c r="DV6" s="29"/>
      <c r="DW6" s="29"/>
      <c r="DX6" s="29"/>
      <c r="DY6" s="29"/>
      <c r="DZ6" s="29"/>
      <c r="EA6" s="29"/>
      <c r="EB6" s="29"/>
      <c r="EC6" s="29"/>
      <c r="ED6" s="29"/>
      <c r="EE6" s="29"/>
      <c r="EF6" s="29"/>
      <c r="EG6" s="29"/>
      <c r="EH6" s="29"/>
      <c r="EI6" s="29"/>
      <c r="EJ6" s="29"/>
      <c r="EK6" s="29"/>
      <c r="EL6" s="29"/>
      <c r="EM6" s="29"/>
      <c r="EN6" s="29"/>
      <c r="EO6" s="29"/>
      <c r="EP6" s="29"/>
      <c r="EQ6" s="29"/>
      <c r="ER6" s="29"/>
      <c r="ES6" s="29"/>
      <c r="ET6" s="29"/>
      <c r="EU6" s="29"/>
      <c r="EV6" s="29"/>
      <c r="EW6" s="29"/>
      <c r="EX6" s="29"/>
      <c r="EY6" s="29"/>
      <c r="EZ6" s="29"/>
      <c r="FA6" s="29"/>
      <c r="FB6" s="29"/>
      <c r="FC6" s="29"/>
      <c r="FD6" s="29"/>
      <c r="FE6" s="29"/>
      <c r="FF6" s="29"/>
      <c r="FG6" s="29"/>
      <c r="FH6" s="29"/>
      <c r="FI6" s="29"/>
      <c r="FJ6" s="29"/>
      <c r="FK6" s="29"/>
      <c r="FL6" s="29"/>
      <c r="FM6" s="29"/>
      <c r="FN6" s="29"/>
      <c r="FO6" s="29"/>
      <c r="FP6" s="29"/>
      <c r="FQ6" s="29"/>
      <c r="FR6" s="29"/>
      <c r="FS6" s="29"/>
      <c r="FT6" s="29"/>
      <c r="FU6" s="29"/>
      <c r="FV6" s="29"/>
      <c r="FW6" s="29"/>
      <c r="FX6" s="29"/>
      <c r="FY6" s="29"/>
      <c r="FZ6" s="29"/>
      <c r="GA6" s="29"/>
      <c r="GB6" s="29"/>
      <c r="GC6" s="29"/>
      <c r="GD6" s="29"/>
      <c r="GE6" s="29"/>
      <c r="GF6" s="29"/>
      <c r="GG6" s="29"/>
      <c r="GH6" s="29"/>
      <c r="GI6" s="29"/>
      <c r="GJ6" s="29"/>
      <c r="GK6" s="29"/>
      <c r="GL6" s="29"/>
      <c r="GM6" s="29"/>
      <c r="GN6" s="29"/>
      <c r="GO6" s="29"/>
      <c r="GP6" s="29"/>
      <c r="GQ6" s="29"/>
      <c r="GR6" s="29"/>
      <c r="GS6" s="29"/>
      <c r="GT6" s="29"/>
      <c r="GU6" s="29"/>
      <c r="GV6" s="29"/>
      <c r="GW6" s="29"/>
      <c r="GX6" s="29"/>
      <c r="GY6" s="29"/>
      <c r="GZ6" s="29"/>
      <c r="HA6" s="29"/>
      <c r="HB6" s="29"/>
      <c r="HC6" s="29"/>
      <c r="HD6" s="29"/>
      <c r="HE6" s="29"/>
      <c r="HF6" s="29"/>
      <c r="HG6" s="29"/>
      <c r="HH6" s="29"/>
      <c r="HI6" s="29"/>
      <c r="HJ6" s="29"/>
      <c r="HK6" s="29"/>
      <c r="HL6" s="29"/>
      <c r="HM6" s="29"/>
      <c r="HN6" s="29"/>
      <c r="HO6" s="29"/>
      <c r="HP6" s="29"/>
      <c r="HQ6" s="29"/>
      <c r="HR6" s="29"/>
      <c r="HS6" s="29"/>
      <c r="HT6" s="29"/>
      <c r="HU6" s="29"/>
      <c r="HV6" s="29"/>
      <c r="HW6" s="29"/>
      <c r="HX6" s="29"/>
      <c r="HY6" s="29"/>
      <c r="HZ6" s="29"/>
      <c r="IA6" s="29"/>
      <c r="IB6" s="29"/>
      <c r="IC6" s="29"/>
      <c r="ID6" s="29"/>
      <c r="IE6" s="29"/>
      <c r="IF6" s="29"/>
      <c r="IG6" s="29"/>
      <c r="IH6" s="29"/>
      <c r="II6" s="29"/>
      <c r="IJ6" s="29"/>
      <c r="IK6" s="29"/>
      <c r="IL6" s="29"/>
      <c r="IM6" s="29"/>
      <c r="IN6" s="29"/>
      <c r="IO6" s="29"/>
      <c r="IP6" s="29"/>
      <c r="IQ6" s="29"/>
      <c r="IR6" s="29"/>
      <c r="IS6" s="29"/>
      <c r="IT6" s="29"/>
      <c r="IU6" s="29"/>
      <c r="IV6" s="29"/>
    </row>
    <row r="7" spans="1:256" ht="15" customHeight="1" x14ac:dyDescent="0.2">
      <c r="A7" s="30" t="s">
        <v>62</v>
      </c>
      <c r="B7" s="32" t="s">
        <v>63</v>
      </c>
      <c r="C7" s="31" t="s">
        <v>64</v>
      </c>
      <c r="D7" s="2"/>
      <c r="E7" s="2"/>
      <c r="F7" s="2"/>
      <c r="G7" s="2"/>
      <c r="H7" s="2"/>
      <c r="I7" s="2"/>
      <c r="J7" s="2"/>
      <c r="K7" s="2"/>
      <c r="L7" s="2"/>
      <c r="M7" s="2"/>
      <c r="N7" s="2"/>
      <c r="O7" s="2"/>
      <c r="P7" s="2"/>
      <c r="Q7" s="2"/>
      <c r="R7" s="2"/>
      <c r="S7" s="2"/>
      <c r="T7" s="3"/>
      <c r="U7" s="3"/>
    </row>
    <row r="8" spans="1:256" ht="15" customHeight="1" x14ac:dyDescent="0.2">
      <c r="A8" s="33" t="s">
        <v>65</v>
      </c>
      <c r="B8" s="34" t="s">
        <v>66</v>
      </c>
      <c r="C8" s="36" t="s">
        <v>67</v>
      </c>
      <c r="D8" s="2"/>
      <c r="E8" s="3"/>
      <c r="F8" s="3"/>
      <c r="G8" s="3"/>
      <c r="H8" s="3"/>
      <c r="I8" s="3"/>
      <c r="J8" s="3"/>
      <c r="K8" s="3"/>
      <c r="L8" s="3"/>
      <c r="M8" s="3"/>
      <c r="N8" s="3"/>
      <c r="O8" s="3"/>
      <c r="P8" s="3"/>
      <c r="Q8" s="3"/>
      <c r="R8" s="3"/>
      <c r="S8" s="3"/>
      <c r="T8" s="3"/>
      <c r="U8" s="3"/>
    </row>
    <row r="9" spans="1:256" ht="15" customHeight="1" x14ac:dyDescent="0.2">
      <c r="A9" s="37" t="s">
        <v>68</v>
      </c>
      <c r="B9" s="35" t="s">
        <v>69</v>
      </c>
      <c r="C9" s="38" t="s">
        <v>70</v>
      </c>
      <c r="D9" s="6"/>
      <c r="E9" s="2"/>
      <c r="F9" s="2"/>
      <c r="G9" s="2"/>
      <c r="H9" s="2"/>
      <c r="I9" s="2"/>
      <c r="J9" s="2"/>
      <c r="K9" s="2"/>
      <c r="L9" s="2"/>
      <c r="M9" s="2"/>
      <c r="N9" s="2"/>
      <c r="O9" s="2"/>
      <c r="P9" s="2"/>
      <c r="Q9" s="2"/>
      <c r="R9" s="2"/>
      <c r="S9" s="2"/>
      <c r="T9" s="2"/>
      <c r="U9" s="2"/>
    </row>
    <row r="10" spans="1:256" ht="15" customHeight="1" x14ac:dyDescent="0.2">
      <c r="A10" s="39" t="s">
        <v>71</v>
      </c>
      <c r="B10" s="40" t="s">
        <v>72</v>
      </c>
      <c r="C10" s="41" t="s">
        <v>73</v>
      </c>
      <c r="D10" s="2"/>
      <c r="E10" s="3"/>
      <c r="F10" s="3"/>
      <c r="G10" s="3"/>
      <c r="H10" s="3"/>
      <c r="I10" s="3"/>
      <c r="J10" s="3"/>
      <c r="K10" s="3"/>
      <c r="L10" s="3"/>
      <c r="M10" s="3"/>
      <c r="N10" s="3"/>
      <c r="O10" s="3"/>
      <c r="P10" s="3"/>
      <c r="Q10" s="3"/>
      <c r="R10" s="3"/>
      <c r="S10" s="3"/>
      <c r="T10" s="3"/>
      <c r="U10" s="3"/>
    </row>
    <row r="11" spans="1:256" ht="31.15" customHeight="1" x14ac:dyDescent="0.25">
      <c r="A11" s="3" t="s">
        <v>74</v>
      </c>
      <c r="B11" s="2"/>
      <c r="C11" s="2"/>
      <c r="D11" s="2"/>
      <c r="E11" s="3"/>
      <c r="F11" s="3"/>
      <c r="G11" s="3"/>
      <c r="H11" s="3"/>
      <c r="I11" s="3"/>
      <c r="J11" s="3"/>
      <c r="K11" s="3"/>
      <c r="L11" s="3"/>
      <c r="M11" s="3"/>
      <c r="N11" s="3"/>
      <c r="O11" s="3"/>
      <c r="P11" s="3"/>
      <c r="Q11" s="3"/>
      <c r="R11" s="3"/>
      <c r="S11" s="3"/>
      <c r="T11" s="3"/>
      <c r="U11" s="3"/>
    </row>
    <row r="12" spans="1:256" ht="15" customHeight="1" x14ac:dyDescent="0.2">
      <c r="A12" s="3" t="s">
        <v>75</v>
      </c>
      <c r="B12" s="2"/>
      <c r="C12" s="2"/>
      <c r="D12" s="3"/>
      <c r="E12" s="3"/>
      <c r="F12" s="3"/>
      <c r="G12" s="3"/>
      <c r="H12" s="3"/>
      <c r="I12" s="3"/>
      <c r="J12" s="3"/>
      <c r="K12" s="3"/>
      <c r="L12" s="3"/>
      <c r="M12" s="3"/>
      <c r="N12" s="3"/>
      <c r="O12" s="3"/>
      <c r="P12" s="3"/>
      <c r="Q12" s="3"/>
      <c r="R12" s="3"/>
      <c r="S12" s="3"/>
      <c r="T12" s="3"/>
      <c r="U12" s="3"/>
    </row>
    <row r="13" spans="1:256" ht="15.6" customHeight="1" x14ac:dyDescent="0.25">
      <c r="A13" s="3" t="s">
        <v>76</v>
      </c>
      <c r="C13" s="2"/>
      <c r="D13" s="3"/>
      <c r="E13" s="3"/>
      <c r="F13" s="3"/>
      <c r="G13" s="3"/>
      <c r="H13" s="3"/>
      <c r="I13" s="3"/>
      <c r="J13" s="28"/>
      <c r="K13" s="3"/>
      <c r="L13" s="3"/>
      <c r="M13" s="3"/>
      <c r="N13" s="3"/>
      <c r="O13" s="3"/>
      <c r="P13" s="3"/>
      <c r="Q13" s="3"/>
      <c r="R13" s="3"/>
      <c r="S13" s="3"/>
      <c r="T13" s="3"/>
    </row>
    <row r="14" spans="1:256" ht="15.6" customHeight="1" x14ac:dyDescent="0.25">
      <c r="A14" s="3" t="s">
        <v>77</v>
      </c>
      <c r="B14" s="28"/>
      <c r="C14" s="2"/>
      <c r="D14" s="3"/>
      <c r="E14" s="3"/>
      <c r="F14" s="3"/>
      <c r="G14" s="3"/>
      <c r="H14" s="3"/>
      <c r="I14" s="3"/>
      <c r="J14" s="3"/>
      <c r="K14" s="3"/>
      <c r="L14" s="3"/>
      <c r="M14" s="3"/>
      <c r="N14" s="3"/>
      <c r="O14" s="3"/>
      <c r="P14" s="3"/>
      <c r="Q14" s="3"/>
      <c r="R14" s="3"/>
      <c r="S14" s="3"/>
      <c r="T14" s="3"/>
    </row>
    <row r="15" spans="1:256" ht="15" customHeight="1" x14ac:dyDescent="0.2">
      <c r="A15" s="3" t="s">
        <v>78</v>
      </c>
      <c r="B15" s="3"/>
      <c r="C15" s="2"/>
      <c r="D15" s="3"/>
      <c r="E15" s="3"/>
      <c r="F15" s="3"/>
      <c r="G15" s="3"/>
      <c r="H15" s="3"/>
      <c r="I15" s="3"/>
      <c r="J15" s="3"/>
      <c r="K15" s="3"/>
      <c r="L15" s="3"/>
      <c r="M15" s="3"/>
      <c r="N15" s="3"/>
      <c r="O15" s="3"/>
      <c r="P15" s="3"/>
      <c r="Q15" s="3"/>
      <c r="R15" s="3"/>
      <c r="S15" s="3"/>
      <c r="T15" s="3"/>
    </row>
    <row r="16" spans="1:256" ht="15" customHeight="1" x14ac:dyDescent="0.2">
      <c r="A16" s="3" t="s">
        <v>79</v>
      </c>
      <c r="B16" s="3"/>
      <c r="C16" s="2"/>
      <c r="D16" s="3"/>
      <c r="E16" s="3"/>
      <c r="F16" s="3"/>
      <c r="G16" s="3"/>
      <c r="H16" s="3"/>
      <c r="I16" s="3"/>
      <c r="J16" s="3"/>
      <c r="K16" s="3"/>
      <c r="L16" s="3"/>
      <c r="M16" s="3"/>
      <c r="N16" s="3"/>
      <c r="O16" s="3"/>
      <c r="P16" s="3"/>
      <c r="Q16" s="3"/>
      <c r="R16" s="3"/>
      <c r="S16" s="3"/>
      <c r="T16" s="3"/>
    </row>
    <row r="17" spans="1:5" ht="15" customHeight="1" x14ac:dyDescent="0.2">
      <c r="A17" s="3" t="s">
        <v>80</v>
      </c>
      <c r="B17" s="3"/>
      <c r="C17" s="2"/>
      <c r="D17" s="3"/>
      <c r="E17" s="3"/>
    </row>
    <row r="18" spans="1:5" ht="15" customHeight="1" x14ac:dyDescent="0.2">
      <c r="A18" s="113" t="s">
        <v>81</v>
      </c>
      <c r="C18" s="2"/>
    </row>
  </sheetData>
  <conditionalFormatting sqref="I2">
    <cfRule type="expression" dxfId="2" priority="1" stopIfTrue="1">
      <formula>IF(J2="d",TRUE,FALSE)</formula>
    </cfRule>
    <cfRule type="expression" dxfId="1" priority="2" stopIfTrue="1">
      <formula>IF(J2="b", TRUE,FALSE)</formula>
    </cfRule>
    <cfRule type="expression" dxfId="0" priority="3" stopIfTrue="1">
      <formula>IF(J2="c", TRUE, FALSE)</formula>
    </cfRule>
  </conditionalFormatting>
  <hyperlinks>
    <hyperlink ref="A18" r:id="rId1" xr:uid="{00000000-0004-0000-0200-000000000000}"/>
  </hyperlinks>
  <pageMargins left="0.7" right="0.7" top="0.75" bottom="0.75" header="0.3" footer="0.3"/>
  <pageSetup paperSize="9" orientation="portrait" horizontalDpi="300" verticalDpi="0"/>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D14"/>
  <sheetViews>
    <sheetView showGridLines="0" workbookViewId="0"/>
  </sheetViews>
  <sheetFormatPr defaultColWidth="10.88671875" defaultRowHeight="15" x14ac:dyDescent="0.2"/>
  <cols>
    <col min="1" max="1" width="115.6640625" style="118" customWidth="1"/>
  </cols>
  <sheetData>
    <row r="1" spans="1:4" ht="31.15" customHeight="1" x14ac:dyDescent="0.2">
      <c r="A1" s="120" t="s">
        <v>82</v>
      </c>
    </row>
    <row r="2" spans="1:4" ht="30" x14ac:dyDescent="0.2">
      <c r="A2" s="42" t="s">
        <v>83</v>
      </c>
    </row>
    <row r="3" spans="1:4" x14ac:dyDescent="0.2">
      <c r="A3" s="42" t="s">
        <v>84</v>
      </c>
    </row>
    <row r="4" spans="1:4" ht="30" x14ac:dyDescent="0.2">
      <c r="A4" s="115" t="s">
        <v>85</v>
      </c>
    </row>
    <row r="5" spans="1:4" ht="31.15" customHeight="1" x14ac:dyDescent="0.2">
      <c r="A5" s="116" t="s">
        <v>86</v>
      </c>
    </row>
    <row r="6" spans="1:4" x14ac:dyDescent="0.2">
      <c r="A6" s="42" t="s">
        <v>87</v>
      </c>
    </row>
    <row r="7" spans="1:4" ht="31.15" customHeight="1" x14ac:dyDescent="0.2">
      <c r="A7" s="116" t="s">
        <v>88</v>
      </c>
    </row>
    <row r="8" spans="1:4" ht="31.15" customHeight="1" x14ac:dyDescent="0.2">
      <c r="A8" s="115" t="s">
        <v>89</v>
      </c>
    </row>
    <row r="9" spans="1:4" ht="30" customHeight="1" x14ac:dyDescent="0.25">
      <c r="A9" s="119" t="s">
        <v>90</v>
      </c>
    </row>
    <row r="10" spans="1:4" x14ac:dyDescent="0.2">
      <c r="A10" s="117" t="s">
        <v>91</v>
      </c>
      <c r="B10" s="42"/>
      <c r="C10" s="42"/>
      <c r="D10" s="42"/>
    </row>
    <row r="11" spans="1:4" x14ac:dyDescent="0.2">
      <c r="A11" s="117" t="s">
        <v>92</v>
      </c>
      <c r="B11" s="44"/>
      <c r="C11" s="43"/>
      <c r="D11" s="43"/>
    </row>
    <row r="12" spans="1:4" x14ac:dyDescent="0.2">
      <c r="A12" s="117" t="s">
        <v>93</v>
      </c>
      <c r="B12" s="44"/>
      <c r="C12" s="44"/>
      <c r="D12" s="45"/>
    </row>
    <row r="13" spans="1:4" x14ac:dyDescent="0.2">
      <c r="A13" s="117" t="s">
        <v>94</v>
      </c>
      <c r="B13" s="44"/>
      <c r="C13" s="44"/>
      <c r="D13" s="44"/>
    </row>
    <row r="14" spans="1:4" x14ac:dyDescent="0.2">
      <c r="A14" s="117" t="s">
        <v>95</v>
      </c>
    </row>
  </sheetData>
  <hyperlinks>
    <hyperlink ref="A10" r:id="rId1" display="https://www.ons.gov.uk/employmentandlabourmarket/peopleinwork/employmentandemployeetypes/articles/coronavirusanditsimpactonthelabourforcesurvey/2020-10-13" xr:uid="{00000000-0004-0000-0300-000000000000}"/>
    <hyperlink ref="A11" r:id="rId2" display="https://blog.ons.gov.uk/2020/10/12/measuring-the-labour-market-during-the-pandemic/" xr:uid="{00000000-0004-0000-0300-000001000000}"/>
    <hyperlink ref="A12" r:id="rId3" display="https://blog.ons.gov.uk/2021/01/25/understanding-how-the-pandemic-population/" xr:uid="{00000000-0004-0000-0300-000002000000}"/>
    <hyperlink ref="A13" r:id="rId4" xr:uid="{00000000-0004-0000-0300-000003000000}"/>
    <hyperlink ref="A14" r:id="rId5" xr:uid="{00000000-0004-0000-0300-000004000000}"/>
  </hyperlinks>
  <pageMargins left="0.7" right="0.7" top="0.75" bottom="0.75" header="0.3" footer="0.3"/>
  <pageSetup paperSize="9" orientation="portrait" horizontalDpi="30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HQ23"/>
  <sheetViews>
    <sheetView showGridLines="0" showZeros="0" zoomScaleNormal="100" workbookViewId="0"/>
  </sheetViews>
  <sheetFormatPr defaultColWidth="10.88671875" defaultRowHeight="15" x14ac:dyDescent="0.2"/>
  <cols>
    <col min="1" max="1" width="55.77734375" customWidth="1"/>
    <col min="2" max="2" width="13.109375" bestFit="1" customWidth="1"/>
    <col min="3" max="3" width="8.21875" bestFit="1" customWidth="1"/>
    <col min="4" max="4" width="9.44140625" bestFit="1" customWidth="1"/>
    <col min="5" max="5" width="13.109375" bestFit="1" customWidth="1"/>
    <col min="6" max="6" width="8.21875" bestFit="1" customWidth="1"/>
    <col min="7" max="7" width="9.44140625" bestFit="1" customWidth="1"/>
    <col min="8" max="8" width="13.109375" bestFit="1" customWidth="1"/>
    <col min="9" max="9" width="8.21875" bestFit="1" customWidth="1"/>
    <col min="10" max="10" width="9.44140625" bestFit="1" customWidth="1"/>
    <col min="11" max="11" width="13.109375" bestFit="1" customWidth="1"/>
    <col min="12" max="12" width="8.21875" bestFit="1" customWidth="1"/>
    <col min="13" max="13" width="9.44140625" bestFit="1" customWidth="1"/>
    <col min="14" max="14" width="13.109375" bestFit="1" customWidth="1"/>
    <col min="15" max="15" width="8.21875" bestFit="1" customWidth="1"/>
    <col min="16" max="16" width="9.44140625" bestFit="1" customWidth="1"/>
    <col min="17" max="17" width="13.109375" bestFit="1" customWidth="1"/>
    <col min="18" max="18" width="8.21875" bestFit="1" customWidth="1"/>
    <col min="19" max="19" width="9.44140625" bestFit="1" customWidth="1"/>
    <col min="20" max="20" width="13.109375" bestFit="1" customWidth="1"/>
    <col min="21" max="21" width="8.21875" bestFit="1" customWidth="1"/>
    <col min="22" max="22" width="9.44140625" bestFit="1" customWidth="1"/>
    <col min="23" max="23" width="13.109375" bestFit="1" customWidth="1"/>
    <col min="24" max="24" width="8.21875" bestFit="1" customWidth="1"/>
    <col min="25" max="25" width="9.44140625" bestFit="1" customWidth="1"/>
    <col min="26" max="26" width="13.109375" bestFit="1" customWidth="1"/>
    <col min="27" max="27" width="8.21875" bestFit="1" customWidth="1"/>
    <col min="28" max="28" width="9.44140625" bestFit="1" customWidth="1"/>
    <col min="29" max="29" width="13.109375" bestFit="1" customWidth="1"/>
    <col min="30" max="30" width="8.21875" bestFit="1" customWidth="1"/>
    <col min="31" max="31" width="9.44140625" bestFit="1" customWidth="1"/>
    <col min="32" max="32" width="13.109375" bestFit="1" customWidth="1"/>
    <col min="33" max="33" width="8.21875" bestFit="1" customWidth="1"/>
    <col min="34" max="34" width="9.44140625" bestFit="1" customWidth="1"/>
  </cols>
  <sheetData>
    <row r="1" spans="1:225" ht="19.899999999999999" customHeight="1" x14ac:dyDescent="0.3">
      <c r="A1" s="193" t="s">
        <v>0</v>
      </c>
    </row>
    <row r="2" spans="1:225" ht="31.15" customHeight="1" x14ac:dyDescent="0.2">
      <c r="A2" s="194" t="s">
        <v>96</v>
      </c>
    </row>
    <row r="3" spans="1:225" ht="15.4" customHeight="1" x14ac:dyDescent="0.2">
      <c r="A3" s="101" t="s">
        <v>97</v>
      </c>
    </row>
    <row r="4" spans="1:225" ht="15.4" customHeight="1" x14ac:dyDescent="0.2">
      <c r="A4" s="101" t="s">
        <v>98</v>
      </c>
    </row>
    <row r="5" spans="1:225" ht="15.6" customHeight="1" x14ac:dyDescent="0.2">
      <c r="A5" s="101" t="s">
        <v>99</v>
      </c>
    </row>
    <row r="6" spans="1:225" ht="15.6" customHeight="1" x14ac:dyDescent="0.2">
      <c r="A6" s="101" t="s">
        <v>179</v>
      </c>
    </row>
    <row r="7" spans="1:225" ht="15.6" customHeight="1" x14ac:dyDescent="0.2">
      <c r="A7" s="101" t="s">
        <v>180</v>
      </c>
    </row>
    <row r="8" spans="1:225" ht="15.4" customHeight="1" x14ac:dyDescent="0.25">
      <c r="A8" s="101" t="s">
        <v>181</v>
      </c>
      <c r="B8" s="68"/>
      <c r="C8" s="68"/>
      <c r="D8" s="68"/>
      <c r="E8" s="68"/>
      <c r="F8" s="68"/>
      <c r="G8" s="68"/>
      <c r="H8" s="68"/>
      <c r="I8" s="68"/>
      <c r="J8" s="68"/>
      <c r="K8" s="68"/>
      <c r="L8" s="68"/>
      <c r="M8" s="68"/>
      <c r="N8" s="68"/>
      <c r="O8" s="68"/>
      <c r="P8" s="68"/>
      <c r="Q8" s="68"/>
      <c r="R8" s="68"/>
      <c r="S8" s="68"/>
      <c r="T8" s="68"/>
      <c r="U8" s="68"/>
      <c r="V8" s="68"/>
      <c r="W8" s="68"/>
      <c r="X8" s="68"/>
      <c r="Y8" s="69"/>
      <c r="Z8" s="69"/>
      <c r="AA8" s="69"/>
      <c r="AB8" s="69"/>
      <c r="AC8" s="69"/>
      <c r="AD8" s="69"/>
      <c r="AE8" s="69"/>
      <c r="AF8" s="69"/>
      <c r="AG8" s="69"/>
      <c r="AH8" s="69"/>
      <c r="AI8" s="69"/>
      <c r="AJ8" s="69"/>
      <c r="AK8" s="69"/>
      <c r="AL8" s="69"/>
      <c r="AM8" s="69"/>
      <c r="AN8" s="69"/>
      <c r="AO8" s="69"/>
      <c r="AP8" s="69"/>
      <c r="AQ8" s="69"/>
      <c r="AR8" s="69"/>
      <c r="AS8" s="69"/>
      <c r="AT8" s="69"/>
      <c r="AU8" s="69"/>
      <c r="AV8" s="69"/>
      <c r="AW8" s="69"/>
      <c r="AX8" s="69"/>
      <c r="AY8" s="69"/>
      <c r="AZ8" s="69"/>
      <c r="BA8" s="69"/>
      <c r="BB8" s="69"/>
      <c r="BC8" s="69"/>
      <c r="BD8" s="69"/>
      <c r="BE8" s="69"/>
      <c r="BF8" s="69"/>
      <c r="BG8" s="69"/>
      <c r="BH8" s="69"/>
      <c r="BI8" s="69"/>
      <c r="BJ8" s="69"/>
      <c r="BK8" s="69"/>
      <c r="BL8" s="69"/>
      <c r="BM8" s="69"/>
      <c r="BN8" s="69"/>
      <c r="BO8" s="69"/>
      <c r="BP8" s="69"/>
      <c r="BQ8" s="69"/>
      <c r="BR8" s="69"/>
      <c r="BS8" s="69"/>
      <c r="BT8" s="69"/>
      <c r="BU8" s="69"/>
      <c r="BV8" s="69"/>
      <c r="BW8" s="69"/>
      <c r="BX8" s="69"/>
      <c r="BY8" s="69"/>
      <c r="BZ8" s="69"/>
      <c r="CA8" s="69"/>
      <c r="CB8" s="69"/>
      <c r="CC8" s="69"/>
      <c r="CD8" s="69"/>
      <c r="CE8" s="69"/>
      <c r="CF8" s="69"/>
      <c r="CG8" s="69"/>
      <c r="CH8" s="69"/>
      <c r="CI8" s="69"/>
      <c r="CJ8" s="69"/>
      <c r="CK8" s="69"/>
      <c r="CL8" s="69"/>
      <c r="CM8" s="69"/>
      <c r="CN8" s="69"/>
      <c r="CO8" s="69"/>
      <c r="CP8" s="69"/>
      <c r="CQ8" s="69"/>
      <c r="CR8" s="69"/>
      <c r="CS8" s="69"/>
      <c r="CT8" s="69"/>
      <c r="CU8" s="69"/>
      <c r="CV8" s="69"/>
      <c r="CW8" s="69"/>
      <c r="CX8" s="69"/>
      <c r="CY8" s="69"/>
      <c r="CZ8" s="69"/>
      <c r="DA8" s="69"/>
      <c r="DB8" s="69"/>
      <c r="DC8" s="69"/>
      <c r="DD8" s="69"/>
      <c r="DE8" s="69"/>
      <c r="DF8" s="69"/>
      <c r="DG8" s="69"/>
      <c r="DH8" s="69"/>
      <c r="DI8" s="69"/>
      <c r="DJ8" s="69"/>
      <c r="DK8" s="69"/>
      <c r="DL8" s="69"/>
      <c r="DM8" s="69"/>
      <c r="DN8" s="69"/>
      <c r="DO8" s="69"/>
      <c r="DP8" s="69"/>
      <c r="DQ8" s="69"/>
      <c r="DR8" s="69"/>
      <c r="DS8" s="69"/>
      <c r="DT8" s="69"/>
      <c r="DU8" s="69"/>
      <c r="DV8" s="69"/>
      <c r="DW8" s="69"/>
      <c r="DX8" s="69"/>
      <c r="DY8" s="69"/>
      <c r="DZ8" s="69"/>
      <c r="EA8" s="69"/>
      <c r="EB8" s="69"/>
      <c r="EC8" s="69"/>
      <c r="ED8" s="69"/>
      <c r="EE8" s="69"/>
      <c r="EF8" s="69"/>
      <c r="EG8" s="69"/>
      <c r="EH8" s="69"/>
      <c r="EI8" s="69"/>
      <c r="EJ8" s="69"/>
      <c r="EK8" s="69"/>
      <c r="EL8" s="69"/>
      <c r="EM8" s="69"/>
      <c r="EN8" s="69"/>
      <c r="EO8" s="69"/>
      <c r="EP8" s="69"/>
      <c r="EQ8" s="69"/>
      <c r="ER8" s="69"/>
      <c r="ES8" s="69"/>
      <c r="ET8" s="69"/>
      <c r="EU8" s="69"/>
      <c r="EV8" s="69"/>
      <c r="EW8" s="69"/>
      <c r="EX8" s="69"/>
      <c r="EY8" s="69"/>
      <c r="EZ8" s="69"/>
      <c r="FA8" s="69"/>
      <c r="FB8" s="69"/>
      <c r="FC8" s="69"/>
      <c r="FD8" s="69"/>
      <c r="FE8" s="69"/>
      <c r="FF8" s="69"/>
      <c r="FG8" s="69"/>
      <c r="FH8" s="69"/>
      <c r="FI8" s="69"/>
      <c r="FJ8" s="69"/>
      <c r="FK8" s="69"/>
      <c r="FL8" s="69"/>
      <c r="FM8" s="69"/>
      <c r="FN8" s="69"/>
      <c r="FO8" s="69"/>
      <c r="FP8" s="69"/>
      <c r="FQ8" s="69"/>
      <c r="FR8" s="69"/>
      <c r="FS8" s="69"/>
      <c r="FT8" s="69"/>
      <c r="FU8" s="69"/>
      <c r="FV8" s="69"/>
      <c r="FW8" s="69"/>
      <c r="FX8" s="69"/>
      <c r="FY8" s="69"/>
      <c r="FZ8" s="69"/>
      <c r="GA8" s="69"/>
      <c r="GB8" s="69"/>
      <c r="GC8" s="69"/>
      <c r="GD8" s="69"/>
      <c r="GE8" s="69"/>
      <c r="GF8" s="69"/>
      <c r="GG8" s="69"/>
      <c r="GH8" s="69"/>
      <c r="GI8" s="69"/>
      <c r="GJ8" s="69"/>
      <c r="GK8" s="69"/>
      <c r="GL8" s="69"/>
      <c r="GM8" s="69"/>
      <c r="GN8" s="69"/>
      <c r="GO8" s="69"/>
      <c r="GP8" s="69"/>
      <c r="GQ8" s="69"/>
      <c r="GR8" s="69"/>
      <c r="GS8" s="69"/>
      <c r="GT8" s="69"/>
      <c r="GU8" s="69"/>
      <c r="GV8" s="69"/>
      <c r="GW8" s="69"/>
      <c r="GX8" s="69"/>
      <c r="GY8" s="69"/>
      <c r="GZ8" s="69"/>
      <c r="HA8" s="69"/>
      <c r="HB8" s="69"/>
      <c r="HC8" s="69"/>
      <c r="HD8" s="69"/>
      <c r="HE8" s="69"/>
      <c r="HF8" s="69"/>
      <c r="HG8" s="69"/>
      <c r="HH8" s="69"/>
      <c r="HI8" s="69"/>
      <c r="HJ8" s="69"/>
      <c r="HK8" s="69"/>
      <c r="HL8" s="69"/>
      <c r="HM8" s="69"/>
      <c r="HN8" s="69"/>
      <c r="HO8" s="69"/>
      <c r="HP8" s="69"/>
      <c r="HQ8" s="69"/>
    </row>
    <row r="9" spans="1:225" ht="31.15" customHeight="1" x14ac:dyDescent="0.2">
      <c r="A9" s="65" t="s">
        <v>100</v>
      </c>
    </row>
    <row r="10" spans="1:225" ht="15" customHeight="1" x14ac:dyDescent="0.2">
      <c r="A10" s="113" t="s">
        <v>101</v>
      </c>
    </row>
    <row r="11" spans="1:225" ht="15.4" customHeight="1" x14ac:dyDescent="0.2">
      <c r="A11" s="113" t="s">
        <v>102</v>
      </c>
    </row>
    <row r="12" spans="1:225" ht="31.15" customHeight="1" x14ac:dyDescent="0.2">
      <c r="A12" s="114" t="s">
        <v>103</v>
      </c>
    </row>
    <row r="13" spans="1:225" ht="31.15" customHeight="1" x14ac:dyDescent="0.2">
      <c r="A13" s="71" t="s">
        <v>104</v>
      </c>
      <c r="B13" s="77" t="s">
        <v>105</v>
      </c>
      <c r="C13" s="70" t="s">
        <v>106</v>
      </c>
      <c r="D13" s="74" t="s">
        <v>107</v>
      </c>
      <c r="E13" s="55" t="s">
        <v>108</v>
      </c>
      <c r="F13" s="70" t="s">
        <v>109</v>
      </c>
      <c r="G13" s="55" t="s">
        <v>110</v>
      </c>
      <c r="H13" s="56" t="s">
        <v>111</v>
      </c>
      <c r="I13" s="70" t="s">
        <v>112</v>
      </c>
      <c r="J13" s="59" t="s">
        <v>113</v>
      </c>
      <c r="K13" s="55" t="s">
        <v>114</v>
      </c>
      <c r="L13" s="70" t="s">
        <v>115</v>
      </c>
      <c r="M13" s="59" t="s">
        <v>116</v>
      </c>
      <c r="N13" s="56" t="s">
        <v>117</v>
      </c>
      <c r="O13" s="70" t="s">
        <v>118</v>
      </c>
      <c r="P13" s="59" t="s">
        <v>119</v>
      </c>
      <c r="Q13" s="56" t="s">
        <v>120</v>
      </c>
      <c r="R13" s="70" t="s">
        <v>121</v>
      </c>
      <c r="S13" s="55" t="s">
        <v>122</v>
      </c>
      <c r="T13" s="56" t="s">
        <v>123</v>
      </c>
      <c r="U13" s="70" t="s">
        <v>124</v>
      </c>
      <c r="V13" s="59" t="s">
        <v>125</v>
      </c>
      <c r="W13" s="55" t="s">
        <v>126</v>
      </c>
      <c r="X13" s="70" t="s">
        <v>127</v>
      </c>
      <c r="Y13" s="59" t="s">
        <v>128</v>
      </c>
      <c r="Z13" s="55" t="s">
        <v>129</v>
      </c>
      <c r="AA13" s="70" t="s">
        <v>130</v>
      </c>
      <c r="AB13" s="59" t="s">
        <v>131</v>
      </c>
      <c r="AC13" s="55" t="s">
        <v>132</v>
      </c>
      <c r="AD13" s="70" t="s">
        <v>133</v>
      </c>
      <c r="AE13" s="59" t="s">
        <v>134</v>
      </c>
      <c r="AF13" s="55" t="s">
        <v>135</v>
      </c>
      <c r="AG13" s="70" t="s">
        <v>136</v>
      </c>
      <c r="AH13" s="63" t="s">
        <v>137</v>
      </c>
    </row>
    <row r="14" spans="1:225" ht="15.6" customHeight="1" x14ac:dyDescent="0.2">
      <c r="A14" s="72" t="s">
        <v>138</v>
      </c>
      <c r="B14" s="124">
        <v>361</v>
      </c>
      <c r="C14" s="133" t="s">
        <v>172</v>
      </c>
      <c r="D14" s="154">
        <v>47</v>
      </c>
      <c r="E14" s="79">
        <v>387</v>
      </c>
      <c r="F14" s="75" t="s">
        <v>66</v>
      </c>
      <c r="G14" s="50">
        <v>54</v>
      </c>
      <c r="H14" s="57">
        <v>419</v>
      </c>
      <c r="I14" s="75" t="s">
        <v>66</v>
      </c>
      <c r="J14" s="60">
        <v>67</v>
      </c>
      <c r="K14" s="79">
        <v>401</v>
      </c>
      <c r="L14" s="78" t="s">
        <v>66</v>
      </c>
      <c r="M14" s="80">
        <v>49</v>
      </c>
      <c r="N14" s="79">
        <v>393</v>
      </c>
      <c r="O14" s="78" t="s">
        <v>66</v>
      </c>
      <c r="P14" s="80">
        <v>41</v>
      </c>
      <c r="Q14" s="79">
        <v>386</v>
      </c>
      <c r="R14" s="78" t="s">
        <v>66</v>
      </c>
      <c r="S14" s="80">
        <v>49</v>
      </c>
      <c r="T14" s="89">
        <v>378</v>
      </c>
      <c r="U14" s="78" t="s">
        <v>63</v>
      </c>
      <c r="V14" s="80">
        <v>32</v>
      </c>
      <c r="W14" s="89">
        <v>404</v>
      </c>
      <c r="X14" s="78" t="s">
        <v>63</v>
      </c>
      <c r="Y14" s="80">
        <v>34</v>
      </c>
      <c r="Z14" s="79">
        <v>336</v>
      </c>
      <c r="AA14" s="78" t="s">
        <v>66</v>
      </c>
      <c r="AB14" s="80">
        <v>34</v>
      </c>
      <c r="AC14" s="89">
        <v>412</v>
      </c>
      <c r="AD14" s="78" t="s">
        <v>63</v>
      </c>
      <c r="AE14" s="80">
        <v>35</v>
      </c>
      <c r="AF14" s="89">
        <v>371</v>
      </c>
      <c r="AG14" s="78" t="s">
        <v>63</v>
      </c>
      <c r="AH14" s="159">
        <v>31</v>
      </c>
    </row>
    <row r="15" spans="1:225" ht="15.6" customHeight="1" x14ac:dyDescent="0.2">
      <c r="A15" s="72" t="s">
        <v>139</v>
      </c>
      <c r="B15" s="126">
        <v>407</v>
      </c>
      <c r="C15" s="134" t="s">
        <v>173</v>
      </c>
      <c r="D15" s="155">
        <v>37</v>
      </c>
      <c r="E15" s="57">
        <v>424</v>
      </c>
      <c r="F15" s="75" t="s">
        <v>66</v>
      </c>
      <c r="G15" s="50">
        <v>46</v>
      </c>
      <c r="H15" s="57">
        <v>428</v>
      </c>
      <c r="I15" s="75" t="s">
        <v>66</v>
      </c>
      <c r="J15" s="60">
        <v>45</v>
      </c>
      <c r="K15" s="51">
        <v>388</v>
      </c>
      <c r="L15" s="75" t="s">
        <v>63</v>
      </c>
      <c r="M15" s="60">
        <v>37</v>
      </c>
      <c r="N15" s="57">
        <v>394</v>
      </c>
      <c r="O15" s="75" t="s">
        <v>66</v>
      </c>
      <c r="P15" s="60">
        <v>43</v>
      </c>
      <c r="Q15" s="51">
        <v>383</v>
      </c>
      <c r="R15" s="75" t="s">
        <v>63</v>
      </c>
      <c r="S15" s="60">
        <v>35</v>
      </c>
      <c r="T15" s="51">
        <v>412</v>
      </c>
      <c r="U15" s="75" t="s">
        <v>63</v>
      </c>
      <c r="V15" s="60">
        <v>26</v>
      </c>
      <c r="W15" s="51">
        <v>408</v>
      </c>
      <c r="X15" s="75" t="s">
        <v>63</v>
      </c>
      <c r="Y15" s="60">
        <v>25</v>
      </c>
      <c r="Z15" s="51">
        <v>431</v>
      </c>
      <c r="AA15" s="75" t="s">
        <v>63</v>
      </c>
      <c r="AB15" s="60">
        <v>26</v>
      </c>
      <c r="AC15" s="51">
        <v>398</v>
      </c>
      <c r="AD15" s="75" t="s">
        <v>63</v>
      </c>
      <c r="AE15" s="60">
        <v>26</v>
      </c>
      <c r="AF15" s="51">
        <v>404</v>
      </c>
      <c r="AG15" s="75" t="s">
        <v>63</v>
      </c>
      <c r="AH15" s="64">
        <v>24</v>
      </c>
    </row>
    <row r="16" spans="1:225" ht="15.6" customHeight="1" x14ac:dyDescent="0.2">
      <c r="A16" s="72" t="s">
        <v>140</v>
      </c>
      <c r="B16" s="124">
        <v>196</v>
      </c>
      <c r="C16" s="134" t="s">
        <v>172</v>
      </c>
      <c r="D16" s="155">
        <v>26</v>
      </c>
      <c r="E16" s="57">
        <v>170</v>
      </c>
      <c r="F16" s="75" t="s">
        <v>66</v>
      </c>
      <c r="G16" s="50">
        <v>26</v>
      </c>
      <c r="H16" s="57">
        <v>171</v>
      </c>
      <c r="I16" s="75" t="s">
        <v>66</v>
      </c>
      <c r="J16" s="60">
        <v>30</v>
      </c>
      <c r="K16" s="57">
        <v>189</v>
      </c>
      <c r="L16" s="75" t="s">
        <v>66</v>
      </c>
      <c r="M16" s="60">
        <v>21</v>
      </c>
      <c r="N16" s="57">
        <v>180</v>
      </c>
      <c r="O16" s="75" t="s">
        <v>66</v>
      </c>
      <c r="P16" s="60">
        <v>24</v>
      </c>
      <c r="Q16" s="57">
        <v>182</v>
      </c>
      <c r="R16" s="75" t="s">
        <v>66</v>
      </c>
      <c r="S16" s="60">
        <v>23</v>
      </c>
      <c r="T16" s="57">
        <v>196</v>
      </c>
      <c r="U16" s="75" t="s">
        <v>66</v>
      </c>
      <c r="V16" s="60">
        <v>20</v>
      </c>
      <c r="W16" s="57">
        <v>189</v>
      </c>
      <c r="X16" s="75" t="s">
        <v>66</v>
      </c>
      <c r="Y16" s="60">
        <v>19</v>
      </c>
      <c r="Z16" s="57">
        <v>165</v>
      </c>
      <c r="AA16" s="75" t="s">
        <v>66</v>
      </c>
      <c r="AB16" s="60">
        <v>19</v>
      </c>
      <c r="AC16" s="57">
        <v>187</v>
      </c>
      <c r="AD16" s="75" t="s">
        <v>66</v>
      </c>
      <c r="AE16" s="60">
        <v>19</v>
      </c>
      <c r="AF16" s="57">
        <v>188</v>
      </c>
      <c r="AG16" s="75" t="s">
        <v>66</v>
      </c>
      <c r="AH16" s="64">
        <v>19</v>
      </c>
    </row>
    <row r="17" spans="1:34" ht="15.6" customHeight="1" x14ac:dyDescent="0.2">
      <c r="A17" s="72" t="s">
        <v>141</v>
      </c>
      <c r="B17" s="124">
        <v>165</v>
      </c>
      <c r="C17" s="134" t="s">
        <v>172</v>
      </c>
      <c r="D17" s="155">
        <v>25</v>
      </c>
      <c r="E17" s="57">
        <v>141</v>
      </c>
      <c r="F17" s="75" t="s">
        <v>66</v>
      </c>
      <c r="G17" s="50">
        <v>22</v>
      </c>
      <c r="H17" s="57">
        <v>151</v>
      </c>
      <c r="I17" s="75" t="s">
        <v>66</v>
      </c>
      <c r="J17" s="60">
        <v>25</v>
      </c>
      <c r="K17" s="57">
        <v>141</v>
      </c>
      <c r="L17" s="75" t="s">
        <v>66</v>
      </c>
      <c r="M17" s="60">
        <v>19</v>
      </c>
      <c r="N17" s="57">
        <v>136</v>
      </c>
      <c r="O17" s="75" t="s">
        <v>66</v>
      </c>
      <c r="P17" s="60">
        <v>20</v>
      </c>
      <c r="Q17" s="57">
        <v>147</v>
      </c>
      <c r="R17" s="75" t="s">
        <v>66</v>
      </c>
      <c r="S17" s="60">
        <v>18</v>
      </c>
      <c r="T17" s="57">
        <v>139</v>
      </c>
      <c r="U17" s="75" t="s">
        <v>66</v>
      </c>
      <c r="V17" s="60">
        <v>16</v>
      </c>
      <c r="W17" s="57">
        <v>137</v>
      </c>
      <c r="X17" s="75" t="s">
        <v>66</v>
      </c>
      <c r="Y17" s="60">
        <v>14</v>
      </c>
      <c r="Z17" s="57">
        <v>146</v>
      </c>
      <c r="AA17" s="75" t="s">
        <v>66</v>
      </c>
      <c r="AB17" s="60">
        <v>15</v>
      </c>
      <c r="AC17" s="57">
        <v>145</v>
      </c>
      <c r="AD17" s="75" t="s">
        <v>66</v>
      </c>
      <c r="AE17" s="60">
        <v>15</v>
      </c>
      <c r="AF17" s="57">
        <v>137</v>
      </c>
      <c r="AG17" s="75" t="s">
        <v>66</v>
      </c>
      <c r="AH17" s="64">
        <v>15</v>
      </c>
    </row>
    <row r="18" spans="1:34" ht="15.6" customHeight="1" x14ac:dyDescent="0.2">
      <c r="A18" s="72" t="s">
        <v>142</v>
      </c>
      <c r="B18" s="129">
        <v>36</v>
      </c>
      <c r="C18" s="134" t="s">
        <v>174</v>
      </c>
      <c r="D18" s="155">
        <v>12</v>
      </c>
      <c r="E18" s="62">
        <v>58</v>
      </c>
      <c r="F18" s="75" t="s">
        <v>69</v>
      </c>
      <c r="G18" s="50">
        <v>17</v>
      </c>
      <c r="H18" s="58">
        <v>31</v>
      </c>
      <c r="I18" s="75" t="s">
        <v>72</v>
      </c>
      <c r="J18" s="60">
        <v>14</v>
      </c>
      <c r="K18" s="62">
        <v>56</v>
      </c>
      <c r="L18" s="75" t="s">
        <v>69</v>
      </c>
      <c r="M18" s="60">
        <v>13</v>
      </c>
      <c r="N18" s="62">
        <v>45</v>
      </c>
      <c r="O18" s="75" t="s">
        <v>69</v>
      </c>
      <c r="P18" s="60">
        <v>15</v>
      </c>
      <c r="Q18" s="62">
        <v>42</v>
      </c>
      <c r="R18" s="75" t="s">
        <v>69</v>
      </c>
      <c r="S18" s="60">
        <v>12</v>
      </c>
      <c r="T18" s="62">
        <v>37</v>
      </c>
      <c r="U18" s="75" t="s">
        <v>69</v>
      </c>
      <c r="V18" s="60">
        <v>9</v>
      </c>
      <c r="W18" s="62">
        <v>41</v>
      </c>
      <c r="X18" s="75" t="s">
        <v>69</v>
      </c>
      <c r="Y18" s="60">
        <v>9</v>
      </c>
      <c r="Z18" s="62">
        <v>52</v>
      </c>
      <c r="AA18" s="75" t="s">
        <v>69</v>
      </c>
      <c r="AB18" s="60">
        <v>12</v>
      </c>
      <c r="AC18" s="62">
        <v>34</v>
      </c>
      <c r="AD18" s="75" t="s">
        <v>69</v>
      </c>
      <c r="AE18" s="60">
        <v>8</v>
      </c>
      <c r="AF18" s="62">
        <v>40</v>
      </c>
      <c r="AG18" s="75" t="s">
        <v>69</v>
      </c>
      <c r="AH18" s="64">
        <v>9</v>
      </c>
    </row>
    <row r="19" spans="1:34" ht="15.6" customHeight="1" x14ac:dyDescent="0.2">
      <c r="A19" s="72" t="s">
        <v>143</v>
      </c>
      <c r="B19" s="130">
        <v>20</v>
      </c>
      <c r="C19" s="134" t="s">
        <v>175</v>
      </c>
      <c r="D19" s="127">
        <v>8</v>
      </c>
      <c r="E19" s="58">
        <v>13</v>
      </c>
      <c r="F19" s="75" t="s">
        <v>72</v>
      </c>
      <c r="G19" s="50">
        <v>10</v>
      </c>
      <c r="H19" s="58">
        <v>15</v>
      </c>
      <c r="I19" s="75" t="s">
        <v>72</v>
      </c>
      <c r="J19" s="60">
        <v>9</v>
      </c>
      <c r="K19" s="58">
        <v>7</v>
      </c>
      <c r="L19" s="75" t="s">
        <v>72</v>
      </c>
      <c r="M19" s="60">
        <v>6</v>
      </c>
      <c r="N19" s="58">
        <v>20</v>
      </c>
      <c r="O19" s="75" t="s">
        <v>72</v>
      </c>
      <c r="P19" s="60">
        <v>12</v>
      </c>
      <c r="Q19" s="58">
        <v>19</v>
      </c>
      <c r="R19" s="75" t="s">
        <v>72</v>
      </c>
      <c r="S19" s="60">
        <v>8</v>
      </c>
      <c r="T19" s="58">
        <v>14</v>
      </c>
      <c r="U19" s="75" t="s">
        <v>72</v>
      </c>
      <c r="V19" s="60">
        <v>6</v>
      </c>
      <c r="W19" s="58">
        <v>12</v>
      </c>
      <c r="X19" s="75" t="s">
        <v>72</v>
      </c>
      <c r="Y19" s="60">
        <v>4</v>
      </c>
      <c r="Z19" s="58">
        <v>12</v>
      </c>
      <c r="AA19" s="75" t="s">
        <v>72</v>
      </c>
      <c r="AB19" s="60">
        <v>4</v>
      </c>
      <c r="AC19" s="58">
        <v>14</v>
      </c>
      <c r="AD19" s="75" t="s">
        <v>72</v>
      </c>
      <c r="AE19" s="60">
        <v>5</v>
      </c>
      <c r="AF19" s="62">
        <v>16</v>
      </c>
      <c r="AG19" s="75" t="s">
        <v>69</v>
      </c>
      <c r="AH19" s="64">
        <v>5</v>
      </c>
    </row>
    <row r="20" spans="1:34" ht="15.6" customHeight="1" x14ac:dyDescent="0.2">
      <c r="A20" s="66" t="s">
        <v>144</v>
      </c>
      <c r="B20" s="130">
        <v>16</v>
      </c>
      <c r="C20" s="134" t="s">
        <v>175</v>
      </c>
      <c r="D20" s="127">
        <v>7</v>
      </c>
      <c r="E20" s="58">
        <v>11</v>
      </c>
      <c r="F20" s="75" t="s">
        <v>72</v>
      </c>
      <c r="G20" s="50">
        <v>10</v>
      </c>
      <c r="H20" s="58">
        <v>12</v>
      </c>
      <c r="I20" s="75" t="s">
        <v>72</v>
      </c>
      <c r="J20" s="60">
        <v>8</v>
      </c>
      <c r="K20" s="58">
        <v>4</v>
      </c>
      <c r="L20" s="75" t="s">
        <v>72</v>
      </c>
      <c r="M20" s="60">
        <v>4</v>
      </c>
      <c r="N20" s="58">
        <v>13</v>
      </c>
      <c r="O20" s="75" t="s">
        <v>72</v>
      </c>
      <c r="P20" s="60">
        <v>10</v>
      </c>
      <c r="Q20" s="58">
        <v>15</v>
      </c>
      <c r="R20" s="75" t="s">
        <v>72</v>
      </c>
      <c r="S20" s="60">
        <v>7</v>
      </c>
      <c r="T20" s="58">
        <v>10</v>
      </c>
      <c r="U20" s="75" t="s">
        <v>72</v>
      </c>
      <c r="V20" s="60">
        <v>5</v>
      </c>
      <c r="W20" s="58">
        <v>8</v>
      </c>
      <c r="X20" s="75" t="s">
        <v>72</v>
      </c>
      <c r="Y20" s="60">
        <v>4</v>
      </c>
      <c r="Z20" s="58">
        <v>8</v>
      </c>
      <c r="AA20" s="75" t="s">
        <v>72</v>
      </c>
      <c r="AB20" s="60">
        <v>4</v>
      </c>
      <c r="AC20" s="58">
        <v>13</v>
      </c>
      <c r="AD20" s="75" t="s">
        <v>72</v>
      </c>
      <c r="AE20" s="60">
        <v>5</v>
      </c>
      <c r="AF20" s="58">
        <v>11</v>
      </c>
      <c r="AG20" s="75" t="s">
        <v>72</v>
      </c>
      <c r="AH20" s="64">
        <v>5</v>
      </c>
    </row>
    <row r="21" spans="1:34" ht="15.6" customHeight="1" x14ac:dyDescent="0.2">
      <c r="A21" s="67" t="s">
        <v>145</v>
      </c>
      <c r="B21" s="130">
        <v>4</v>
      </c>
      <c r="C21" s="134" t="s">
        <v>175</v>
      </c>
      <c r="D21" s="155">
        <v>4</v>
      </c>
      <c r="E21" s="49" t="s">
        <v>146</v>
      </c>
      <c r="F21" s="75" t="s">
        <v>146</v>
      </c>
      <c r="G21" s="50" t="s">
        <v>146</v>
      </c>
      <c r="H21" s="51" t="s">
        <v>146</v>
      </c>
      <c r="I21" s="75" t="s">
        <v>146</v>
      </c>
      <c r="J21" s="60" t="s">
        <v>146</v>
      </c>
      <c r="K21" s="160">
        <v>3</v>
      </c>
      <c r="L21" s="157" t="s">
        <v>72</v>
      </c>
      <c r="M21" s="90">
        <v>4</v>
      </c>
      <c r="N21" s="160">
        <v>7</v>
      </c>
      <c r="O21" s="157" t="s">
        <v>72</v>
      </c>
      <c r="P21" s="90">
        <v>6</v>
      </c>
      <c r="Q21" s="160">
        <v>4</v>
      </c>
      <c r="R21" s="157" t="s">
        <v>72</v>
      </c>
      <c r="S21" s="90">
        <v>3</v>
      </c>
      <c r="T21" s="160">
        <v>3</v>
      </c>
      <c r="U21" s="157" t="s">
        <v>72</v>
      </c>
      <c r="V21" s="90">
        <v>3</v>
      </c>
      <c r="W21" s="160">
        <v>4</v>
      </c>
      <c r="X21" s="157" t="s">
        <v>72</v>
      </c>
      <c r="Y21" s="90">
        <v>3</v>
      </c>
      <c r="Z21" s="160">
        <v>4</v>
      </c>
      <c r="AA21" s="157" t="s">
        <v>72</v>
      </c>
      <c r="AB21" s="90">
        <v>3</v>
      </c>
      <c r="AC21" s="49" t="s">
        <v>146</v>
      </c>
      <c r="AD21" s="157" t="s">
        <v>146</v>
      </c>
      <c r="AE21" s="90" t="s">
        <v>146</v>
      </c>
      <c r="AF21" s="160">
        <v>5</v>
      </c>
      <c r="AG21" s="157" t="s">
        <v>72</v>
      </c>
      <c r="AH21" s="158">
        <v>3</v>
      </c>
    </row>
    <row r="22" spans="1:34" ht="15.6" customHeight="1" x14ac:dyDescent="0.2">
      <c r="A22" s="76" t="s">
        <v>147</v>
      </c>
      <c r="B22" s="131">
        <v>1185</v>
      </c>
      <c r="C22" s="135" t="s">
        <v>173</v>
      </c>
      <c r="D22" s="132">
        <v>43</v>
      </c>
      <c r="E22" s="46">
        <v>1192</v>
      </c>
      <c r="F22" s="47" t="s">
        <v>63</v>
      </c>
      <c r="G22" s="46">
        <v>53</v>
      </c>
      <c r="H22" s="52">
        <v>1215</v>
      </c>
      <c r="I22" s="47" t="s">
        <v>63</v>
      </c>
      <c r="J22" s="61">
        <v>61</v>
      </c>
      <c r="K22" s="48">
        <v>1180</v>
      </c>
      <c r="L22" s="157" t="s">
        <v>63</v>
      </c>
      <c r="M22" s="90">
        <v>43</v>
      </c>
      <c r="N22" s="49">
        <v>1168</v>
      </c>
      <c r="O22" s="157" t="s">
        <v>63</v>
      </c>
      <c r="P22" s="90">
        <v>45</v>
      </c>
      <c r="Q22" s="49">
        <v>1160</v>
      </c>
      <c r="R22" s="157" t="s">
        <v>63</v>
      </c>
      <c r="S22" s="48">
        <v>40</v>
      </c>
      <c r="T22" s="49">
        <v>1175</v>
      </c>
      <c r="U22" s="157" t="s">
        <v>63</v>
      </c>
      <c r="V22" s="90">
        <v>21</v>
      </c>
      <c r="W22" s="48">
        <v>1191</v>
      </c>
      <c r="X22" s="157" t="s">
        <v>63</v>
      </c>
      <c r="Y22" s="90">
        <v>21</v>
      </c>
      <c r="Z22" s="48">
        <v>1141</v>
      </c>
      <c r="AA22" s="157" t="s">
        <v>63</v>
      </c>
      <c r="AB22" s="90">
        <v>22</v>
      </c>
      <c r="AC22" s="46">
        <v>1190</v>
      </c>
      <c r="AD22" s="47" t="s">
        <v>63</v>
      </c>
      <c r="AE22" s="61">
        <v>22</v>
      </c>
      <c r="AF22" s="48">
        <v>1155</v>
      </c>
      <c r="AG22" s="157" t="s">
        <v>63</v>
      </c>
      <c r="AH22" s="158">
        <v>20</v>
      </c>
    </row>
    <row r="23" spans="1:34" ht="15.6" customHeight="1" x14ac:dyDescent="0.2">
      <c r="A23" s="73" t="s">
        <v>148</v>
      </c>
      <c r="B23" s="122">
        <v>2.2999999999999998</v>
      </c>
      <c r="C23" s="136" t="s">
        <v>173</v>
      </c>
      <c r="D23" s="123">
        <v>0.08</v>
      </c>
      <c r="E23" s="137">
        <v>2.25</v>
      </c>
      <c r="F23" s="47" t="s">
        <v>63</v>
      </c>
      <c r="G23" s="137">
        <v>0.1</v>
      </c>
      <c r="H23" s="138">
        <v>2.17</v>
      </c>
      <c r="I23" s="137" t="s">
        <v>63</v>
      </c>
      <c r="J23" s="91">
        <v>0.11</v>
      </c>
      <c r="K23" s="137">
        <v>2.23</v>
      </c>
      <c r="L23" s="47" t="s">
        <v>63</v>
      </c>
      <c r="M23" s="139">
        <v>0.08</v>
      </c>
      <c r="N23" s="138">
        <v>2.2400000000000002</v>
      </c>
      <c r="O23" s="47" t="s">
        <v>63</v>
      </c>
      <c r="P23" s="139">
        <v>0.09</v>
      </c>
      <c r="Q23" s="138">
        <v>2.2599999999999998</v>
      </c>
      <c r="R23" s="47" t="s">
        <v>63</v>
      </c>
      <c r="S23" s="137">
        <v>0.08</v>
      </c>
      <c r="T23" s="138">
        <v>2.23</v>
      </c>
      <c r="U23" s="47" t="s">
        <v>63</v>
      </c>
      <c r="V23" s="139">
        <v>0.04</v>
      </c>
      <c r="W23" s="137">
        <v>2.2000000000000002</v>
      </c>
      <c r="X23" s="47" t="s">
        <v>63</v>
      </c>
      <c r="Y23" s="139">
        <v>0.04</v>
      </c>
      <c r="Z23" s="137">
        <v>2.29</v>
      </c>
      <c r="AA23" s="47" t="s">
        <v>63</v>
      </c>
      <c r="AB23" s="139">
        <v>0.04</v>
      </c>
      <c r="AC23" s="137">
        <v>2.19</v>
      </c>
      <c r="AD23" s="47" t="s">
        <v>63</v>
      </c>
      <c r="AE23" s="139">
        <v>0.04</v>
      </c>
      <c r="AF23" s="137">
        <v>2.2400000000000002</v>
      </c>
      <c r="AG23" s="47" t="s">
        <v>63</v>
      </c>
      <c r="AH23" s="139">
        <v>0.04</v>
      </c>
    </row>
  </sheetData>
  <hyperlinks>
    <hyperlink ref="A10" r:id="rId1" xr:uid="{00000000-0004-0000-0400-000000000000}"/>
    <hyperlink ref="A11" r:id="rId2" xr:uid="{00000000-0004-0000-0400-000001000000}"/>
    <hyperlink ref="A12" r:id="rId3" xr:uid="{00000000-0004-0000-0400-000002000000}"/>
  </hyperlinks>
  <pageMargins left="0.7" right="0.7" top="0.75" bottom="0.75" header="0.3" footer="0.3"/>
  <pageSetup paperSize="9" orientation="portrait"/>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HQ25"/>
  <sheetViews>
    <sheetView showGridLines="0" showZeros="0" zoomScaleNormal="100" workbookViewId="0"/>
  </sheetViews>
  <sheetFormatPr defaultColWidth="10.88671875" defaultRowHeight="15" x14ac:dyDescent="0.2"/>
  <cols>
    <col min="1" max="1" width="55.5546875" customWidth="1"/>
    <col min="2" max="2" width="13.109375" bestFit="1" customWidth="1"/>
    <col min="3" max="3" width="8.21875" bestFit="1" customWidth="1"/>
    <col min="4" max="4" width="9.44140625" bestFit="1" customWidth="1"/>
    <col min="5" max="5" width="13.109375" bestFit="1" customWidth="1"/>
    <col min="6" max="6" width="8.21875" bestFit="1" customWidth="1"/>
    <col min="7" max="7" width="9.44140625" bestFit="1" customWidth="1"/>
    <col min="8" max="8" width="13.109375" bestFit="1" customWidth="1"/>
    <col min="9" max="9" width="8.21875" bestFit="1" customWidth="1"/>
    <col min="10" max="10" width="9.44140625" bestFit="1" customWidth="1"/>
    <col min="11" max="11" width="13.109375" bestFit="1" customWidth="1"/>
    <col min="12" max="12" width="8.21875" bestFit="1" customWidth="1"/>
    <col min="13" max="13" width="9.44140625" bestFit="1" customWidth="1"/>
    <col min="14" max="14" width="13.109375" bestFit="1" customWidth="1"/>
    <col min="15" max="15" width="8.21875" bestFit="1" customWidth="1"/>
    <col min="16" max="16" width="9.44140625" bestFit="1" customWidth="1"/>
    <col min="17" max="17" width="13.109375" bestFit="1" customWidth="1"/>
    <col min="18" max="18" width="8.21875" bestFit="1" customWidth="1"/>
    <col min="19" max="19" width="9.44140625" bestFit="1" customWidth="1"/>
    <col min="20" max="20" width="13.109375" bestFit="1" customWidth="1"/>
    <col min="21" max="21" width="8.21875" bestFit="1" customWidth="1"/>
    <col min="22" max="22" width="9.44140625" bestFit="1" customWidth="1"/>
    <col min="23" max="23" width="13.109375" bestFit="1" customWidth="1"/>
    <col min="24" max="24" width="8.21875" bestFit="1" customWidth="1"/>
    <col min="25" max="25" width="9.44140625" bestFit="1" customWidth="1"/>
    <col min="26" max="26" width="13.109375" bestFit="1" customWidth="1"/>
    <col min="27" max="27" width="8.21875" bestFit="1" customWidth="1"/>
    <col min="28" max="28" width="9.44140625" bestFit="1" customWidth="1"/>
    <col min="29" max="29" width="13.109375" bestFit="1" customWidth="1"/>
    <col min="30" max="30" width="8.21875" bestFit="1" customWidth="1"/>
    <col min="31" max="31" width="9.44140625" bestFit="1" customWidth="1"/>
    <col min="32" max="32" width="13.109375" bestFit="1" customWidth="1"/>
    <col min="33" max="33" width="8.21875" bestFit="1" customWidth="1"/>
    <col min="34" max="34" width="9.44140625" bestFit="1" customWidth="1"/>
  </cols>
  <sheetData>
    <row r="1" spans="1:225" ht="19.899999999999999" customHeight="1" x14ac:dyDescent="0.3">
      <c r="A1" s="193" t="s">
        <v>0</v>
      </c>
    </row>
    <row r="2" spans="1:225" ht="31.15" customHeight="1" x14ac:dyDescent="0.2">
      <c r="A2" s="194" t="s">
        <v>149</v>
      </c>
    </row>
    <row r="3" spans="1:225" ht="15.4" customHeight="1" x14ac:dyDescent="0.2">
      <c r="A3" s="101" t="s">
        <v>150</v>
      </c>
    </row>
    <row r="4" spans="1:225" ht="15.4" customHeight="1" x14ac:dyDescent="0.2">
      <c r="A4" s="101" t="s">
        <v>98</v>
      </c>
    </row>
    <row r="5" spans="1:225" ht="15.6" customHeight="1" x14ac:dyDescent="0.2">
      <c r="A5" s="101" t="s">
        <v>99</v>
      </c>
    </row>
    <row r="6" spans="1:225" ht="15.6" customHeight="1" x14ac:dyDescent="0.2">
      <c r="A6" s="101" t="s">
        <v>179</v>
      </c>
    </row>
    <row r="7" spans="1:225" ht="15.6" customHeight="1" x14ac:dyDescent="0.2">
      <c r="A7" s="101" t="s">
        <v>180</v>
      </c>
    </row>
    <row r="8" spans="1:225" ht="15.4" customHeight="1" x14ac:dyDescent="0.25">
      <c r="A8" s="101" t="s">
        <v>181</v>
      </c>
      <c r="B8" s="81"/>
      <c r="C8" s="81"/>
      <c r="D8" s="81"/>
      <c r="E8" s="81"/>
      <c r="F8" s="81"/>
      <c r="G8" s="81"/>
      <c r="H8" s="81"/>
      <c r="I8" s="81"/>
      <c r="J8" s="81"/>
      <c r="K8" s="81"/>
      <c r="L8" s="81"/>
      <c r="M8" s="81"/>
      <c r="N8" s="81"/>
      <c r="O8" s="81"/>
      <c r="P8" s="81"/>
      <c r="Q8" s="81"/>
      <c r="R8" s="81"/>
      <c r="S8" s="81"/>
      <c r="T8" s="81"/>
      <c r="U8" s="81"/>
      <c r="V8" s="81"/>
      <c r="W8" s="81"/>
      <c r="X8" s="81"/>
      <c r="Y8" s="82"/>
      <c r="Z8" s="82"/>
      <c r="AA8" s="82"/>
      <c r="AB8" s="82"/>
      <c r="AC8" s="82"/>
      <c r="AD8" s="82"/>
      <c r="AE8" s="82"/>
      <c r="AF8" s="82"/>
      <c r="AG8" s="82"/>
      <c r="AH8" s="82"/>
      <c r="AI8" s="82"/>
      <c r="AJ8" s="82"/>
      <c r="AK8" s="82"/>
      <c r="AL8" s="82"/>
      <c r="AM8" s="82"/>
      <c r="AN8" s="82"/>
      <c r="AO8" s="82"/>
      <c r="AP8" s="82"/>
      <c r="AQ8" s="82"/>
      <c r="AR8" s="82"/>
      <c r="AS8" s="82"/>
      <c r="AT8" s="82"/>
      <c r="AU8" s="82"/>
      <c r="AV8" s="82"/>
      <c r="AW8" s="82"/>
      <c r="AX8" s="82"/>
      <c r="AY8" s="82"/>
      <c r="AZ8" s="82"/>
      <c r="BA8" s="82"/>
      <c r="BB8" s="82"/>
      <c r="BC8" s="82"/>
      <c r="BD8" s="82"/>
      <c r="BE8" s="82"/>
      <c r="BF8" s="82"/>
      <c r="BG8" s="82"/>
      <c r="BH8" s="82"/>
      <c r="BI8" s="82"/>
      <c r="BJ8" s="82"/>
      <c r="BK8" s="82"/>
      <c r="BL8" s="82"/>
      <c r="BM8" s="82"/>
      <c r="BN8" s="82"/>
      <c r="BO8" s="82"/>
      <c r="BP8" s="82"/>
      <c r="BQ8" s="82"/>
      <c r="BR8" s="82"/>
      <c r="BS8" s="82"/>
      <c r="BT8" s="82"/>
      <c r="BU8" s="82"/>
      <c r="BV8" s="82"/>
      <c r="BW8" s="82"/>
      <c r="BX8" s="82"/>
      <c r="BY8" s="82"/>
      <c r="BZ8" s="82"/>
      <c r="CA8" s="82"/>
      <c r="CB8" s="82"/>
      <c r="CC8" s="82"/>
      <c r="CD8" s="82"/>
      <c r="CE8" s="82"/>
      <c r="CF8" s="82"/>
      <c r="CG8" s="82"/>
      <c r="CH8" s="82"/>
      <c r="CI8" s="82"/>
      <c r="CJ8" s="82"/>
      <c r="CK8" s="82"/>
      <c r="CL8" s="82"/>
      <c r="CM8" s="82"/>
      <c r="CN8" s="82"/>
      <c r="CO8" s="82"/>
      <c r="CP8" s="82"/>
      <c r="CQ8" s="82"/>
      <c r="CR8" s="82"/>
      <c r="CS8" s="82"/>
      <c r="CT8" s="82"/>
      <c r="CU8" s="82"/>
      <c r="CV8" s="82"/>
      <c r="CW8" s="82"/>
      <c r="CX8" s="82"/>
      <c r="CY8" s="82"/>
      <c r="CZ8" s="82"/>
      <c r="DA8" s="82"/>
      <c r="DB8" s="82"/>
      <c r="DC8" s="82"/>
      <c r="DD8" s="82"/>
      <c r="DE8" s="82"/>
      <c r="DF8" s="82"/>
      <c r="DG8" s="82"/>
      <c r="DH8" s="82"/>
      <c r="DI8" s="82"/>
      <c r="DJ8" s="82"/>
      <c r="DK8" s="82"/>
      <c r="DL8" s="82"/>
      <c r="DM8" s="82"/>
      <c r="DN8" s="82"/>
      <c r="DO8" s="82"/>
      <c r="DP8" s="82"/>
      <c r="DQ8" s="82"/>
      <c r="DR8" s="82"/>
      <c r="DS8" s="82"/>
      <c r="DT8" s="82"/>
      <c r="DU8" s="82"/>
      <c r="DV8" s="82"/>
      <c r="DW8" s="82"/>
      <c r="DX8" s="82"/>
      <c r="DY8" s="82"/>
      <c r="DZ8" s="82"/>
      <c r="EA8" s="82"/>
      <c r="EB8" s="82"/>
      <c r="EC8" s="82"/>
      <c r="ED8" s="82"/>
      <c r="EE8" s="82"/>
      <c r="EF8" s="82"/>
      <c r="EG8" s="82"/>
      <c r="EH8" s="82"/>
      <c r="EI8" s="82"/>
      <c r="EJ8" s="82"/>
      <c r="EK8" s="82"/>
      <c r="EL8" s="82"/>
      <c r="EM8" s="82"/>
      <c r="EN8" s="82"/>
      <c r="EO8" s="82"/>
      <c r="EP8" s="82"/>
      <c r="EQ8" s="82"/>
      <c r="ER8" s="82"/>
      <c r="ES8" s="82"/>
      <c r="ET8" s="82"/>
      <c r="EU8" s="82"/>
      <c r="EV8" s="82"/>
      <c r="EW8" s="82"/>
      <c r="EX8" s="82"/>
      <c r="EY8" s="82"/>
      <c r="EZ8" s="82"/>
      <c r="FA8" s="82"/>
      <c r="FB8" s="82"/>
      <c r="FC8" s="82"/>
      <c r="FD8" s="82"/>
      <c r="FE8" s="82"/>
      <c r="FF8" s="82"/>
      <c r="FG8" s="82"/>
      <c r="FH8" s="82"/>
      <c r="FI8" s="82"/>
      <c r="FJ8" s="82"/>
      <c r="FK8" s="82"/>
      <c r="FL8" s="82"/>
      <c r="FM8" s="82"/>
      <c r="FN8" s="82"/>
      <c r="FO8" s="82"/>
      <c r="FP8" s="82"/>
      <c r="FQ8" s="82"/>
      <c r="FR8" s="82"/>
      <c r="FS8" s="82"/>
      <c r="FT8" s="82"/>
      <c r="FU8" s="82"/>
      <c r="FV8" s="82"/>
      <c r="FW8" s="82"/>
      <c r="FX8" s="82"/>
      <c r="FY8" s="82"/>
      <c r="FZ8" s="82"/>
      <c r="GA8" s="82"/>
      <c r="GB8" s="82"/>
      <c r="GC8" s="82"/>
      <c r="GD8" s="82"/>
      <c r="GE8" s="82"/>
      <c r="GF8" s="82"/>
      <c r="GG8" s="82"/>
      <c r="GH8" s="82"/>
      <c r="GI8" s="82"/>
      <c r="GJ8" s="82"/>
      <c r="GK8" s="82"/>
      <c r="GL8" s="82"/>
      <c r="GM8" s="82"/>
      <c r="GN8" s="82"/>
      <c r="GO8" s="82"/>
      <c r="GP8" s="82"/>
      <c r="GQ8" s="82"/>
      <c r="GR8" s="82"/>
      <c r="GS8" s="82"/>
      <c r="GT8" s="82"/>
      <c r="GU8" s="82"/>
      <c r="GV8" s="82"/>
      <c r="GW8" s="82"/>
      <c r="GX8" s="82"/>
      <c r="GY8" s="82"/>
      <c r="GZ8" s="82"/>
      <c r="HA8" s="82"/>
      <c r="HB8" s="82"/>
      <c r="HC8" s="82"/>
      <c r="HD8" s="82"/>
      <c r="HE8" s="82"/>
      <c r="HF8" s="82"/>
      <c r="HG8" s="82"/>
      <c r="HH8" s="82"/>
      <c r="HI8" s="82"/>
      <c r="HJ8" s="82"/>
      <c r="HK8" s="82"/>
      <c r="HL8" s="82"/>
      <c r="HM8" s="82"/>
      <c r="HN8" s="82"/>
      <c r="HO8" s="82"/>
      <c r="HP8" s="82"/>
      <c r="HQ8" s="82"/>
    </row>
    <row r="9" spans="1:225" ht="31.15" customHeight="1" x14ac:dyDescent="0.2">
      <c r="A9" s="65" t="s">
        <v>100</v>
      </c>
    </row>
    <row r="10" spans="1:225" ht="15" customHeight="1" x14ac:dyDescent="0.2">
      <c r="A10" s="113" t="s">
        <v>101</v>
      </c>
    </row>
    <row r="11" spans="1:225" ht="15.4" customHeight="1" x14ac:dyDescent="0.2">
      <c r="A11" s="113" t="s">
        <v>102</v>
      </c>
    </row>
    <row r="12" spans="1:225" ht="31.15" customHeight="1" x14ac:dyDescent="0.2">
      <c r="A12" s="114" t="s">
        <v>103</v>
      </c>
    </row>
    <row r="13" spans="1:225" ht="31.15" customHeight="1" x14ac:dyDescent="0.2">
      <c r="A13" s="71" t="s">
        <v>104</v>
      </c>
      <c r="B13" s="77" t="s">
        <v>105</v>
      </c>
      <c r="C13" s="70" t="s">
        <v>106</v>
      </c>
      <c r="D13" s="74" t="s">
        <v>107</v>
      </c>
      <c r="E13" s="70" t="s">
        <v>108</v>
      </c>
      <c r="F13" s="70" t="s">
        <v>109</v>
      </c>
      <c r="G13" s="70" t="s">
        <v>110</v>
      </c>
      <c r="H13" s="77" t="s">
        <v>111</v>
      </c>
      <c r="I13" s="70" t="s">
        <v>112</v>
      </c>
      <c r="J13" s="74" t="s">
        <v>113</v>
      </c>
      <c r="K13" s="70" t="s">
        <v>114</v>
      </c>
      <c r="L13" s="70" t="s">
        <v>115</v>
      </c>
      <c r="M13" s="74" t="s">
        <v>116</v>
      </c>
      <c r="N13" s="77" t="s">
        <v>117</v>
      </c>
      <c r="O13" s="70" t="s">
        <v>118</v>
      </c>
      <c r="P13" s="74" t="s">
        <v>119</v>
      </c>
      <c r="Q13" s="77" t="s">
        <v>120</v>
      </c>
      <c r="R13" s="70" t="s">
        <v>121</v>
      </c>
      <c r="S13" s="70" t="s">
        <v>122</v>
      </c>
      <c r="T13" s="77" t="s">
        <v>123</v>
      </c>
      <c r="U13" s="70" t="s">
        <v>124</v>
      </c>
      <c r="V13" s="74" t="s">
        <v>125</v>
      </c>
      <c r="W13" s="70" t="s">
        <v>126</v>
      </c>
      <c r="X13" s="70" t="s">
        <v>127</v>
      </c>
      <c r="Y13" s="74" t="s">
        <v>128</v>
      </c>
      <c r="Z13" s="70" t="s">
        <v>129</v>
      </c>
      <c r="AA13" s="70" t="s">
        <v>130</v>
      </c>
      <c r="AB13" s="74" t="s">
        <v>131</v>
      </c>
      <c r="AC13" s="70" t="s">
        <v>132</v>
      </c>
      <c r="AD13" s="70" t="s">
        <v>133</v>
      </c>
      <c r="AE13" s="74" t="s">
        <v>134</v>
      </c>
      <c r="AF13" s="70" t="s">
        <v>135</v>
      </c>
      <c r="AG13" s="70" t="s">
        <v>136</v>
      </c>
      <c r="AH13" s="74" t="s">
        <v>137</v>
      </c>
    </row>
    <row r="14" spans="1:225" ht="15.6" customHeight="1" x14ac:dyDescent="0.2">
      <c r="A14" s="72" t="s">
        <v>138</v>
      </c>
      <c r="B14" s="126">
        <v>982</v>
      </c>
      <c r="C14" s="134" t="s">
        <v>173</v>
      </c>
      <c r="D14" s="156">
        <v>74</v>
      </c>
      <c r="E14" s="89">
        <v>1081</v>
      </c>
      <c r="F14" s="78" t="s">
        <v>63</v>
      </c>
      <c r="G14" s="80">
        <v>95</v>
      </c>
      <c r="H14" s="79">
        <v>1021</v>
      </c>
      <c r="I14" s="78" t="s">
        <v>66</v>
      </c>
      <c r="J14" s="80">
        <v>103</v>
      </c>
      <c r="K14" s="89">
        <v>955</v>
      </c>
      <c r="L14" s="78" t="s">
        <v>63</v>
      </c>
      <c r="M14" s="80">
        <v>85</v>
      </c>
      <c r="N14" s="89">
        <v>1045</v>
      </c>
      <c r="O14" s="78" t="s">
        <v>63</v>
      </c>
      <c r="P14" s="80">
        <v>80</v>
      </c>
      <c r="Q14" s="79">
        <v>981</v>
      </c>
      <c r="R14" s="78" t="s">
        <v>66</v>
      </c>
      <c r="S14" s="80">
        <v>102</v>
      </c>
      <c r="T14" s="89">
        <v>952</v>
      </c>
      <c r="U14" s="78" t="s">
        <v>63</v>
      </c>
      <c r="V14" s="80">
        <v>57</v>
      </c>
      <c r="W14" s="89">
        <v>963</v>
      </c>
      <c r="X14" s="78" t="s">
        <v>63</v>
      </c>
      <c r="Y14" s="80">
        <v>58</v>
      </c>
      <c r="Z14" s="89">
        <v>941</v>
      </c>
      <c r="AA14" s="78" t="s">
        <v>63</v>
      </c>
      <c r="AB14" s="80">
        <v>57</v>
      </c>
      <c r="AC14" s="89">
        <v>895</v>
      </c>
      <c r="AD14" s="78" t="s">
        <v>63</v>
      </c>
      <c r="AE14" s="80">
        <v>52</v>
      </c>
      <c r="AF14" s="89">
        <v>951</v>
      </c>
      <c r="AG14" s="78" t="s">
        <v>63</v>
      </c>
      <c r="AH14" s="80">
        <v>56</v>
      </c>
    </row>
    <row r="15" spans="1:225" ht="15.6" customHeight="1" x14ac:dyDescent="0.2">
      <c r="A15" s="72" t="s">
        <v>139</v>
      </c>
      <c r="B15" s="126">
        <v>1124</v>
      </c>
      <c r="C15" s="134" t="s">
        <v>173</v>
      </c>
      <c r="D15" s="156">
        <v>72</v>
      </c>
      <c r="E15" s="51">
        <v>1083</v>
      </c>
      <c r="F15" s="75" t="s">
        <v>63</v>
      </c>
      <c r="G15" s="60">
        <v>84</v>
      </c>
      <c r="H15" s="51">
        <v>1144</v>
      </c>
      <c r="I15" s="75" t="s">
        <v>63</v>
      </c>
      <c r="J15" s="60">
        <v>89</v>
      </c>
      <c r="K15" s="51">
        <v>1143</v>
      </c>
      <c r="L15" s="75" t="s">
        <v>63</v>
      </c>
      <c r="M15" s="60">
        <v>76</v>
      </c>
      <c r="N15" s="51">
        <v>1027</v>
      </c>
      <c r="O15" s="75" t="s">
        <v>63</v>
      </c>
      <c r="P15" s="60">
        <v>69</v>
      </c>
      <c r="Q15" s="51">
        <v>1069</v>
      </c>
      <c r="R15" s="75" t="s">
        <v>63</v>
      </c>
      <c r="S15" s="60">
        <v>67</v>
      </c>
      <c r="T15" s="51">
        <v>1036</v>
      </c>
      <c r="U15" s="75" t="s">
        <v>63</v>
      </c>
      <c r="V15" s="60">
        <v>43</v>
      </c>
      <c r="W15" s="51">
        <v>1052</v>
      </c>
      <c r="X15" s="75" t="s">
        <v>63</v>
      </c>
      <c r="Y15" s="60">
        <v>43</v>
      </c>
      <c r="Z15" s="51">
        <v>1053</v>
      </c>
      <c r="AA15" s="75" t="s">
        <v>63</v>
      </c>
      <c r="AB15" s="60">
        <v>43</v>
      </c>
      <c r="AC15" s="51">
        <v>1020</v>
      </c>
      <c r="AD15" s="75" t="s">
        <v>63</v>
      </c>
      <c r="AE15" s="60">
        <v>41</v>
      </c>
      <c r="AF15" s="51">
        <v>1025</v>
      </c>
      <c r="AG15" s="75" t="s">
        <v>63</v>
      </c>
      <c r="AH15" s="60">
        <v>41</v>
      </c>
    </row>
    <row r="16" spans="1:225" ht="15.6" customHeight="1" x14ac:dyDescent="0.2">
      <c r="A16" s="72" t="s">
        <v>140</v>
      </c>
      <c r="B16" s="126">
        <v>494</v>
      </c>
      <c r="C16" s="134" t="s">
        <v>173</v>
      </c>
      <c r="D16" s="156">
        <v>44</v>
      </c>
      <c r="E16" s="57">
        <v>501</v>
      </c>
      <c r="F16" s="75" t="s">
        <v>66</v>
      </c>
      <c r="G16" s="60">
        <v>51</v>
      </c>
      <c r="H16" s="57">
        <v>494</v>
      </c>
      <c r="I16" s="75" t="s">
        <v>66</v>
      </c>
      <c r="J16" s="60">
        <v>58</v>
      </c>
      <c r="K16" s="51">
        <v>441</v>
      </c>
      <c r="L16" s="75" t="s">
        <v>63</v>
      </c>
      <c r="M16" s="60">
        <v>41</v>
      </c>
      <c r="N16" s="51">
        <v>495</v>
      </c>
      <c r="O16" s="75" t="s">
        <v>63</v>
      </c>
      <c r="P16" s="60">
        <v>41</v>
      </c>
      <c r="Q16" s="51">
        <v>485</v>
      </c>
      <c r="R16" s="75" t="s">
        <v>63</v>
      </c>
      <c r="S16" s="60">
        <v>41</v>
      </c>
      <c r="T16" s="51">
        <v>456</v>
      </c>
      <c r="U16" s="75" t="s">
        <v>63</v>
      </c>
      <c r="V16" s="60">
        <v>32</v>
      </c>
      <c r="W16" s="51">
        <v>463</v>
      </c>
      <c r="X16" s="75" t="s">
        <v>63</v>
      </c>
      <c r="Y16" s="60">
        <v>31</v>
      </c>
      <c r="Z16" s="51">
        <v>515</v>
      </c>
      <c r="AA16" s="75" t="s">
        <v>63</v>
      </c>
      <c r="AB16" s="60">
        <v>33</v>
      </c>
      <c r="AC16" s="51">
        <v>518</v>
      </c>
      <c r="AD16" s="75" t="s">
        <v>63</v>
      </c>
      <c r="AE16" s="60">
        <v>32</v>
      </c>
      <c r="AF16" s="51">
        <v>494</v>
      </c>
      <c r="AG16" s="75" t="s">
        <v>63</v>
      </c>
      <c r="AH16" s="60">
        <v>30</v>
      </c>
    </row>
    <row r="17" spans="1:34" ht="15.6" customHeight="1" x14ac:dyDescent="0.2">
      <c r="A17" s="72" t="s">
        <v>141</v>
      </c>
      <c r="B17" s="126">
        <v>464</v>
      </c>
      <c r="C17" s="134" t="s">
        <v>173</v>
      </c>
      <c r="D17" s="156">
        <v>40</v>
      </c>
      <c r="E17" s="57">
        <v>384</v>
      </c>
      <c r="F17" s="75" t="s">
        <v>66</v>
      </c>
      <c r="G17" s="60">
        <v>49</v>
      </c>
      <c r="H17" s="57">
        <v>369</v>
      </c>
      <c r="I17" s="75" t="s">
        <v>66</v>
      </c>
      <c r="J17" s="60">
        <v>47</v>
      </c>
      <c r="K17" s="51">
        <v>412</v>
      </c>
      <c r="L17" s="75" t="s">
        <v>63</v>
      </c>
      <c r="M17" s="60">
        <v>38</v>
      </c>
      <c r="N17" s="51">
        <v>399</v>
      </c>
      <c r="O17" s="75" t="s">
        <v>63</v>
      </c>
      <c r="P17" s="60">
        <v>35</v>
      </c>
      <c r="Q17" s="51">
        <v>415</v>
      </c>
      <c r="R17" s="75" t="s">
        <v>63</v>
      </c>
      <c r="S17" s="60">
        <v>34</v>
      </c>
      <c r="T17" s="51">
        <v>417</v>
      </c>
      <c r="U17" s="75" t="s">
        <v>63</v>
      </c>
      <c r="V17" s="60">
        <v>28</v>
      </c>
      <c r="W17" s="51">
        <v>411</v>
      </c>
      <c r="X17" s="75" t="s">
        <v>63</v>
      </c>
      <c r="Y17" s="60">
        <v>27</v>
      </c>
      <c r="Z17" s="51">
        <v>399</v>
      </c>
      <c r="AA17" s="75" t="s">
        <v>63</v>
      </c>
      <c r="AB17" s="60">
        <v>27</v>
      </c>
      <c r="AC17" s="51">
        <v>412</v>
      </c>
      <c r="AD17" s="75" t="s">
        <v>63</v>
      </c>
      <c r="AE17" s="60">
        <v>26</v>
      </c>
      <c r="AF17" s="51">
        <v>419</v>
      </c>
      <c r="AG17" s="75" t="s">
        <v>63</v>
      </c>
      <c r="AH17" s="60">
        <v>25</v>
      </c>
    </row>
    <row r="18" spans="1:34" ht="15.6" customHeight="1" x14ac:dyDescent="0.2">
      <c r="A18" s="72" t="s">
        <v>142</v>
      </c>
      <c r="B18" s="124">
        <v>137</v>
      </c>
      <c r="C18" s="134" t="s">
        <v>172</v>
      </c>
      <c r="D18" s="156">
        <v>24</v>
      </c>
      <c r="E18" s="57">
        <v>159</v>
      </c>
      <c r="F18" s="75" t="s">
        <v>66</v>
      </c>
      <c r="G18" s="60">
        <v>28</v>
      </c>
      <c r="H18" s="62">
        <v>132</v>
      </c>
      <c r="I18" s="75" t="s">
        <v>69</v>
      </c>
      <c r="J18" s="60">
        <v>29</v>
      </c>
      <c r="K18" s="62">
        <v>117</v>
      </c>
      <c r="L18" s="75" t="s">
        <v>69</v>
      </c>
      <c r="M18" s="60">
        <v>23</v>
      </c>
      <c r="N18" s="57">
        <v>140</v>
      </c>
      <c r="O18" s="75" t="s">
        <v>66</v>
      </c>
      <c r="P18" s="60">
        <v>24</v>
      </c>
      <c r="Q18" s="57">
        <v>133</v>
      </c>
      <c r="R18" s="75" t="s">
        <v>66</v>
      </c>
      <c r="S18" s="60">
        <v>21</v>
      </c>
      <c r="T18" s="57">
        <v>130</v>
      </c>
      <c r="U18" s="75" t="s">
        <v>66</v>
      </c>
      <c r="V18" s="60">
        <v>18</v>
      </c>
      <c r="W18" s="57">
        <v>138</v>
      </c>
      <c r="X18" s="75" t="s">
        <v>66</v>
      </c>
      <c r="Y18" s="60">
        <v>17</v>
      </c>
      <c r="Z18" s="57">
        <v>117</v>
      </c>
      <c r="AA18" s="75" t="s">
        <v>66</v>
      </c>
      <c r="AB18" s="60">
        <v>16</v>
      </c>
      <c r="AC18" s="57">
        <v>130</v>
      </c>
      <c r="AD18" s="75" t="s">
        <v>66</v>
      </c>
      <c r="AE18" s="60">
        <v>16</v>
      </c>
      <c r="AF18" s="57">
        <v>119</v>
      </c>
      <c r="AG18" s="75" t="s">
        <v>66</v>
      </c>
      <c r="AH18" s="60">
        <v>15</v>
      </c>
    </row>
    <row r="19" spans="1:34" ht="15.6" customHeight="1" x14ac:dyDescent="0.2">
      <c r="A19" s="72" t="s">
        <v>143</v>
      </c>
      <c r="B19" s="129">
        <v>60</v>
      </c>
      <c r="C19" s="134" t="s">
        <v>174</v>
      </c>
      <c r="D19" s="141">
        <v>17</v>
      </c>
      <c r="E19" s="62">
        <v>66</v>
      </c>
      <c r="F19" s="75" t="s">
        <v>69</v>
      </c>
      <c r="G19" s="60">
        <v>22</v>
      </c>
      <c r="H19" s="58">
        <v>56</v>
      </c>
      <c r="I19" s="75" t="s">
        <v>72</v>
      </c>
      <c r="J19" s="60">
        <v>23</v>
      </c>
      <c r="K19" s="62">
        <v>73</v>
      </c>
      <c r="L19" s="75" t="s">
        <v>69</v>
      </c>
      <c r="M19" s="60">
        <v>22</v>
      </c>
      <c r="N19" s="62">
        <v>58</v>
      </c>
      <c r="O19" s="75" t="s">
        <v>69</v>
      </c>
      <c r="P19" s="60">
        <v>18</v>
      </c>
      <c r="Q19" s="62">
        <v>51</v>
      </c>
      <c r="R19" s="75" t="s">
        <v>69</v>
      </c>
      <c r="S19" s="60">
        <v>15</v>
      </c>
      <c r="T19" s="57">
        <v>76</v>
      </c>
      <c r="U19" s="75" t="s">
        <v>66</v>
      </c>
      <c r="V19" s="60">
        <v>13</v>
      </c>
      <c r="W19" s="62">
        <v>60</v>
      </c>
      <c r="X19" s="75" t="s">
        <v>69</v>
      </c>
      <c r="Y19" s="60">
        <v>9</v>
      </c>
      <c r="Z19" s="62">
        <v>62</v>
      </c>
      <c r="AA19" s="75" t="s">
        <v>69</v>
      </c>
      <c r="AB19" s="60">
        <v>10</v>
      </c>
      <c r="AC19" s="62">
        <v>54</v>
      </c>
      <c r="AD19" s="75" t="s">
        <v>69</v>
      </c>
      <c r="AE19" s="60">
        <v>9</v>
      </c>
      <c r="AF19" s="57">
        <v>52</v>
      </c>
      <c r="AG19" s="75" t="s">
        <v>66</v>
      </c>
      <c r="AH19" s="60">
        <v>9</v>
      </c>
    </row>
    <row r="20" spans="1:34" ht="15.6" customHeight="1" x14ac:dyDescent="0.2">
      <c r="A20" s="66" t="s">
        <v>144</v>
      </c>
      <c r="B20" s="129">
        <v>40</v>
      </c>
      <c r="C20" s="134" t="s">
        <v>174</v>
      </c>
      <c r="D20" s="141">
        <v>13</v>
      </c>
      <c r="E20" s="62">
        <v>53</v>
      </c>
      <c r="F20" s="75" t="s">
        <v>69</v>
      </c>
      <c r="G20" s="60">
        <v>20</v>
      </c>
      <c r="H20" s="58">
        <v>35</v>
      </c>
      <c r="I20" s="75" t="s">
        <v>72</v>
      </c>
      <c r="J20" s="60">
        <v>18</v>
      </c>
      <c r="K20" s="62">
        <v>56</v>
      </c>
      <c r="L20" s="75" t="s">
        <v>69</v>
      </c>
      <c r="M20" s="60">
        <v>20</v>
      </c>
      <c r="N20" s="62">
        <v>51</v>
      </c>
      <c r="O20" s="75" t="s">
        <v>69</v>
      </c>
      <c r="P20" s="60">
        <v>17</v>
      </c>
      <c r="Q20" s="62">
        <v>35</v>
      </c>
      <c r="R20" s="75" t="s">
        <v>69</v>
      </c>
      <c r="S20" s="60">
        <v>12</v>
      </c>
      <c r="T20" s="62">
        <v>46</v>
      </c>
      <c r="U20" s="75" t="s">
        <v>69</v>
      </c>
      <c r="V20" s="60">
        <v>11</v>
      </c>
      <c r="W20" s="62">
        <v>35</v>
      </c>
      <c r="X20" s="75" t="s">
        <v>69</v>
      </c>
      <c r="Y20" s="60">
        <v>9</v>
      </c>
      <c r="Z20" s="62">
        <v>44</v>
      </c>
      <c r="AA20" s="75" t="s">
        <v>69</v>
      </c>
      <c r="AB20" s="60">
        <v>10</v>
      </c>
      <c r="AC20" s="62">
        <v>38</v>
      </c>
      <c r="AD20" s="75" t="s">
        <v>69</v>
      </c>
      <c r="AE20" s="60">
        <v>9</v>
      </c>
      <c r="AF20" s="62">
        <v>36</v>
      </c>
      <c r="AG20" s="75" t="s">
        <v>69</v>
      </c>
      <c r="AH20" s="60">
        <v>8</v>
      </c>
    </row>
    <row r="21" spans="1:34" ht="15.6" customHeight="1" x14ac:dyDescent="0.2">
      <c r="A21" s="67" t="s">
        <v>145</v>
      </c>
      <c r="B21" s="130">
        <v>20</v>
      </c>
      <c r="C21" s="134" t="s">
        <v>175</v>
      </c>
      <c r="D21" s="141">
        <v>11</v>
      </c>
      <c r="E21" s="160">
        <v>13</v>
      </c>
      <c r="F21" s="157" t="s">
        <v>72</v>
      </c>
      <c r="G21" s="90">
        <v>11</v>
      </c>
      <c r="H21" s="160">
        <v>21</v>
      </c>
      <c r="I21" s="157" t="s">
        <v>72</v>
      </c>
      <c r="J21" s="90">
        <v>15</v>
      </c>
      <c r="K21" s="160">
        <v>17</v>
      </c>
      <c r="L21" s="157" t="s">
        <v>72</v>
      </c>
      <c r="M21" s="90">
        <v>10</v>
      </c>
      <c r="N21" s="160">
        <v>7</v>
      </c>
      <c r="O21" s="157" t="s">
        <v>72</v>
      </c>
      <c r="P21" s="90">
        <v>7</v>
      </c>
      <c r="Q21" s="160">
        <v>16</v>
      </c>
      <c r="R21" s="157" t="s">
        <v>72</v>
      </c>
      <c r="S21" s="90">
        <v>9</v>
      </c>
      <c r="T21" s="97">
        <v>30</v>
      </c>
      <c r="U21" s="157" t="s">
        <v>69</v>
      </c>
      <c r="V21" s="90">
        <v>9</v>
      </c>
      <c r="W21" s="97">
        <v>25</v>
      </c>
      <c r="X21" s="157" t="s">
        <v>69</v>
      </c>
      <c r="Y21" s="90">
        <v>8</v>
      </c>
      <c r="Z21" s="97">
        <v>19</v>
      </c>
      <c r="AA21" s="157" t="s">
        <v>69</v>
      </c>
      <c r="AB21" s="90">
        <v>7</v>
      </c>
      <c r="AC21" s="97">
        <v>15</v>
      </c>
      <c r="AD21" s="157" t="s">
        <v>69</v>
      </c>
      <c r="AE21" s="90">
        <v>6</v>
      </c>
      <c r="AF21" s="97">
        <v>17</v>
      </c>
      <c r="AG21" s="157" t="s">
        <v>69</v>
      </c>
      <c r="AH21" s="90">
        <v>6</v>
      </c>
    </row>
    <row r="22" spans="1:34" ht="15.6" customHeight="1" x14ac:dyDescent="0.2">
      <c r="A22" s="76" t="s">
        <v>147</v>
      </c>
      <c r="B22" s="131">
        <v>3261</v>
      </c>
      <c r="C22" s="135" t="s">
        <v>173</v>
      </c>
      <c r="D22" s="142">
        <v>71</v>
      </c>
      <c r="E22" s="48">
        <v>3275</v>
      </c>
      <c r="F22" s="157" t="s">
        <v>63</v>
      </c>
      <c r="G22" s="48">
        <v>100</v>
      </c>
      <c r="H22" s="49">
        <v>3216</v>
      </c>
      <c r="I22" s="157" t="s">
        <v>63</v>
      </c>
      <c r="J22" s="90">
        <v>103</v>
      </c>
      <c r="K22" s="48">
        <v>3141</v>
      </c>
      <c r="L22" s="157" t="s">
        <v>63</v>
      </c>
      <c r="M22" s="90">
        <v>85</v>
      </c>
      <c r="N22" s="49">
        <v>3165</v>
      </c>
      <c r="O22" s="157" t="s">
        <v>63</v>
      </c>
      <c r="P22" s="90">
        <v>72</v>
      </c>
      <c r="Q22" s="49">
        <v>3134</v>
      </c>
      <c r="R22" s="157" t="s">
        <v>63</v>
      </c>
      <c r="S22" s="48">
        <v>82</v>
      </c>
      <c r="T22" s="49">
        <v>3066</v>
      </c>
      <c r="U22" s="157" t="s">
        <v>63</v>
      </c>
      <c r="V22" s="90">
        <v>38</v>
      </c>
      <c r="W22" s="48">
        <v>3087</v>
      </c>
      <c r="X22" s="157" t="s">
        <v>63</v>
      </c>
      <c r="Y22" s="90">
        <v>37</v>
      </c>
      <c r="Z22" s="48">
        <v>3087</v>
      </c>
      <c r="AA22" s="157" t="s">
        <v>63</v>
      </c>
      <c r="AB22" s="90">
        <v>36</v>
      </c>
      <c r="AC22" s="48">
        <v>3029</v>
      </c>
      <c r="AD22" s="157" t="s">
        <v>63</v>
      </c>
      <c r="AE22" s="90">
        <v>34</v>
      </c>
      <c r="AF22" s="48">
        <v>3060</v>
      </c>
      <c r="AG22" s="157" t="s">
        <v>63</v>
      </c>
      <c r="AH22" s="90">
        <v>35</v>
      </c>
    </row>
    <row r="23" spans="1:34" ht="15.6" customHeight="1" x14ac:dyDescent="0.2">
      <c r="A23" s="84" t="s">
        <v>148</v>
      </c>
      <c r="B23" s="122">
        <v>2.34</v>
      </c>
      <c r="C23" s="136" t="s">
        <v>173</v>
      </c>
      <c r="D23" s="140">
        <v>0.05</v>
      </c>
      <c r="E23" s="137">
        <v>2.29</v>
      </c>
      <c r="F23" s="47" t="s">
        <v>63</v>
      </c>
      <c r="G23" s="137">
        <v>7.0000000000000007E-2</v>
      </c>
      <c r="H23" s="138">
        <v>2.27</v>
      </c>
      <c r="I23" s="47" t="s">
        <v>63</v>
      </c>
      <c r="J23" s="139">
        <v>7.0000000000000007E-2</v>
      </c>
      <c r="K23" s="137">
        <v>2.31</v>
      </c>
      <c r="L23" s="47" t="s">
        <v>63</v>
      </c>
      <c r="M23" s="139">
        <v>0.06</v>
      </c>
      <c r="N23" s="138">
        <v>2.29</v>
      </c>
      <c r="O23" s="47" t="s">
        <v>63</v>
      </c>
      <c r="P23" s="139">
        <v>0.05</v>
      </c>
      <c r="Q23" s="138">
        <v>2.31</v>
      </c>
      <c r="R23" s="47" t="s">
        <v>63</v>
      </c>
      <c r="S23" s="137">
        <v>0.06</v>
      </c>
      <c r="T23" s="138">
        <v>2.35</v>
      </c>
      <c r="U23" s="47" t="s">
        <v>63</v>
      </c>
      <c r="V23" s="139">
        <v>0.03</v>
      </c>
      <c r="W23" s="137">
        <v>2.33</v>
      </c>
      <c r="X23" s="47" t="s">
        <v>63</v>
      </c>
      <c r="Y23" s="139">
        <v>0.03</v>
      </c>
      <c r="Z23" s="137">
        <v>2.3199999999999998</v>
      </c>
      <c r="AA23" s="47" t="s">
        <v>63</v>
      </c>
      <c r="AB23" s="139">
        <v>0.03</v>
      </c>
      <c r="AC23" s="137">
        <v>2.36</v>
      </c>
      <c r="AD23" s="47" t="s">
        <v>63</v>
      </c>
      <c r="AE23" s="139">
        <v>0.03</v>
      </c>
      <c r="AF23" s="137">
        <v>2.3199999999999998</v>
      </c>
      <c r="AG23" s="47" t="s">
        <v>63</v>
      </c>
      <c r="AH23" s="139">
        <v>0.03</v>
      </c>
    </row>
    <row r="24" spans="1:34" ht="15.6" customHeight="1" x14ac:dyDescent="0.2"/>
    <row r="25" spans="1:34" ht="15.6" customHeight="1" x14ac:dyDescent="0.2"/>
  </sheetData>
  <hyperlinks>
    <hyperlink ref="A10" r:id="rId1" xr:uid="{00000000-0004-0000-0500-000000000000}"/>
    <hyperlink ref="A11" r:id="rId2" xr:uid="{00000000-0004-0000-0500-000001000000}"/>
    <hyperlink ref="A12" r:id="rId3" xr:uid="{00000000-0004-0000-0500-000002000000}"/>
  </hyperlinks>
  <pageMargins left="0.7" right="0.7" top="0.75" bottom="0.75" header="0.3" footer="0.3"/>
  <pageSetup paperSize="9" orientation="portrait"/>
  <tableParts count="1">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HQ25"/>
  <sheetViews>
    <sheetView showGridLines="0" showZeros="0" zoomScaleNormal="100" workbookViewId="0"/>
  </sheetViews>
  <sheetFormatPr defaultColWidth="10.88671875" defaultRowHeight="15" x14ac:dyDescent="0.2"/>
  <cols>
    <col min="1" max="1" width="55.6640625" customWidth="1"/>
    <col min="2" max="2" width="13.109375" bestFit="1" customWidth="1"/>
    <col min="3" max="3" width="8.21875" bestFit="1" customWidth="1"/>
    <col min="4" max="4" width="9.44140625" bestFit="1" customWidth="1"/>
    <col min="5" max="5" width="13.109375" bestFit="1" customWidth="1"/>
    <col min="6" max="6" width="8.21875" bestFit="1" customWidth="1"/>
    <col min="7" max="7" width="9.44140625" bestFit="1" customWidth="1"/>
    <col min="8" max="8" width="13.109375" bestFit="1" customWidth="1"/>
    <col min="9" max="9" width="8.21875" bestFit="1" customWidth="1"/>
    <col min="10" max="10" width="9.44140625" bestFit="1" customWidth="1"/>
    <col min="11" max="11" width="13.109375" bestFit="1" customWidth="1"/>
    <col min="12" max="12" width="8.21875" bestFit="1" customWidth="1"/>
    <col min="13" max="13" width="9.44140625" bestFit="1" customWidth="1"/>
    <col min="14" max="14" width="13.109375" bestFit="1" customWidth="1"/>
    <col min="15" max="15" width="8.21875" bestFit="1" customWidth="1"/>
    <col min="16" max="16" width="9.44140625" bestFit="1" customWidth="1"/>
    <col min="17" max="17" width="13.109375" bestFit="1" customWidth="1"/>
    <col min="18" max="18" width="8.21875" bestFit="1" customWidth="1"/>
    <col min="19" max="19" width="9.44140625" bestFit="1" customWidth="1"/>
    <col min="20" max="20" width="13.109375" bestFit="1" customWidth="1"/>
    <col min="21" max="21" width="8.21875" bestFit="1" customWidth="1"/>
    <col min="22" max="22" width="9.44140625" bestFit="1" customWidth="1"/>
    <col min="23" max="23" width="13.109375" bestFit="1" customWidth="1"/>
    <col min="24" max="24" width="8.21875" bestFit="1" customWidth="1"/>
    <col min="25" max="25" width="9.44140625" bestFit="1" customWidth="1"/>
    <col min="26" max="26" width="13.109375" bestFit="1" customWidth="1"/>
    <col min="27" max="27" width="8.21875" bestFit="1" customWidth="1"/>
    <col min="28" max="28" width="9.44140625" bestFit="1" customWidth="1"/>
    <col min="29" max="29" width="13.109375" bestFit="1" customWidth="1"/>
    <col min="30" max="30" width="8.21875" bestFit="1" customWidth="1"/>
    <col min="31" max="31" width="9.44140625" bestFit="1" customWidth="1"/>
    <col min="32" max="32" width="13.109375" bestFit="1" customWidth="1"/>
    <col min="33" max="33" width="8.21875" bestFit="1" customWidth="1"/>
    <col min="34" max="34" width="9.44140625" bestFit="1" customWidth="1"/>
  </cols>
  <sheetData>
    <row r="1" spans="1:225" ht="19.899999999999999" customHeight="1" x14ac:dyDescent="0.3">
      <c r="A1" s="193" t="s">
        <v>0</v>
      </c>
    </row>
    <row r="2" spans="1:225" ht="31.15" customHeight="1" x14ac:dyDescent="0.2">
      <c r="A2" s="194" t="s">
        <v>151</v>
      </c>
    </row>
    <row r="3" spans="1:225" ht="15.4" customHeight="1" x14ac:dyDescent="0.2">
      <c r="A3" s="101" t="s">
        <v>152</v>
      </c>
    </row>
    <row r="4" spans="1:225" ht="15.4" customHeight="1" x14ac:dyDescent="0.2">
      <c r="A4" s="101" t="s">
        <v>98</v>
      </c>
    </row>
    <row r="5" spans="1:225" ht="15.6" customHeight="1" x14ac:dyDescent="0.2">
      <c r="A5" s="101" t="s">
        <v>99</v>
      </c>
    </row>
    <row r="6" spans="1:225" ht="15.6" customHeight="1" x14ac:dyDescent="0.2">
      <c r="A6" s="101" t="s">
        <v>179</v>
      </c>
    </row>
    <row r="7" spans="1:225" ht="15.6" customHeight="1" x14ac:dyDescent="0.2">
      <c r="A7" s="101" t="s">
        <v>180</v>
      </c>
    </row>
    <row r="8" spans="1:225" ht="15.4" customHeight="1" x14ac:dyDescent="0.25">
      <c r="A8" s="101" t="s">
        <v>181</v>
      </c>
      <c r="B8" s="68"/>
      <c r="C8" s="68"/>
      <c r="D8" s="68"/>
      <c r="E8" s="68"/>
      <c r="F8" s="68"/>
      <c r="G8" s="68"/>
      <c r="H8" s="68"/>
      <c r="I8" s="68"/>
      <c r="J8" s="68"/>
      <c r="K8" s="68"/>
      <c r="L8" s="68"/>
      <c r="M8" s="68"/>
      <c r="N8" s="68"/>
      <c r="O8" s="68"/>
      <c r="P8" s="68"/>
      <c r="Q8" s="68"/>
      <c r="R8" s="68"/>
      <c r="S8" s="68"/>
      <c r="T8" s="68"/>
      <c r="U8" s="68"/>
      <c r="V8" s="68"/>
      <c r="W8" s="68"/>
      <c r="X8" s="68"/>
      <c r="Y8" s="69"/>
      <c r="Z8" s="69"/>
      <c r="AA8" s="69"/>
      <c r="AB8" s="69"/>
      <c r="AC8" s="69"/>
      <c r="AD8" s="69"/>
      <c r="AE8" s="69"/>
      <c r="AF8" s="69"/>
      <c r="AG8" s="69"/>
      <c r="AH8" s="69"/>
      <c r="AI8" s="69"/>
      <c r="AJ8" s="69"/>
      <c r="AK8" s="69"/>
      <c r="AL8" s="69"/>
      <c r="AM8" s="69"/>
      <c r="AN8" s="69"/>
      <c r="AO8" s="69"/>
      <c r="AP8" s="69"/>
      <c r="AQ8" s="69"/>
      <c r="AR8" s="69"/>
      <c r="AS8" s="69"/>
      <c r="AT8" s="69"/>
      <c r="AU8" s="69"/>
      <c r="AV8" s="69"/>
      <c r="AW8" s="69"/>
      <c r="AX8" s="69"/>
      <c r="AY8" s="69"/>
      <c r="AZ8" s="69"/>
      <c r="BA8" s="69"/>
      <c r="BB8" s="69"/>
      <c r="BC8" s="69"/>
      <c r="BD8" s="69"/>
      <c r="BE8" s="69"/>
      <c r="BF8" s="69"/>
      <c r="BG8" s="69"/>
      <c r="BH8" s="69"/>
      <c r="BI8" s="69"/>
      <c r="BJ8" s="69"/>
      <c r="BK8" s="69"/>
      <c r="BL8" s="69"/>
      <c r="BM8" s="69"/>
      <c r="BN8" s="69"/>
      <c r="BO8" s="69"/>
      <c r="BP8" s="69"/>
      <c r="BQ8" s="69"/>
      <c r="BR8" s="69"/>
      <c r="BS8" s="69"/>
      <c r="BT8" s="69"/>
      <c r="BU8" s="69"/>
      <c r="BV8" s="69"/>
      <c r="BW8" s="69"/>
      <c r="BX8" s="69"/>
      <c r="BY8" s="69"/>
      <c r="BZ8" s="69"/>
      <c r="CA8" s="69"/>
      <c r="CB8" s="69"/>
      <c r="CC8" s="69"/>
      <c r="CD8" s="69"/>
      <c r="CE8" s="69"/>
      <c r="CF8" s="69"/>
      <c r="CG8" s="69"/>
      <c r="CH8" s="69"/>
      <c r="CI8" s="69"/>
      <c r="CJ8" s="69"/>
      <c r="CK8" s="69"/>
      <c r="CL8" s="69"/>
      <c r="CM8" s="69"/>
      <c r="CN8" s="69"/>
      <c r="CO8" s="69"/>
      <c r="CP8" s="69"/>
      <c r="CQ8" s="69"/>
      <c r="CR8" s="69"/>
      <c r="CS8" s="69"/>
      <c r="CT8" s="69"/>
      <c r="CU8" s="69"/>
      <c r="CV8" s="69"/>
      <c r="CW8" s="69"/>
      <c r="CX8" s="69"/>
      <c r="CY8" s="69"/>
      <c r="CZ8" s="69"/>
      <c r="DA8" s="69"/>
      <c r="DB8" s="69"/>
      <c r="DC8" s="69"/>
      <c r="DD8" s="69"/>
      <c r="DE8" s="69"/>
      <c r="DF8" s="69"/>
      <c r="DG8" s="69"/>
      <c r="DH8" s="69"/>
      <c r="DI8" s="69"/>
      <c r="DJ8" s="69"/>
      <c r="DK8" s="69"/>
      <c r="DL8" s="69"/>
      <c r="DM8" s="69"/>
      <c r="DN8" s="69"/>
      <c r="DO8" s="69"/>
      <c r="DP8" s="69"/>
      <c r="DQ8" s="69"/>
      <c r="DR8" s="69"/>
      <c r="DS8" s="69"/>
      <c r="DT8" s="69"/>
      <c r="DU8" s="69"/>
      <c r="DV8" s="69"/>
      <c r="DW8" s="69"/>
      <c r="DX8" s="69"/>
      <c r="DY8" s="69"/>
      <c r="DZ8" s="69"/>
      <c r="EA8" s="69"/>
      <c r="EB8" s="69"/>
      <c r="EC8" s="69"/>
      <c r="ED8" s="69"/>
      <c r="EE8" s="69"/>
      <c r="EF8" s="69"/>
      <c r="EG8" s="69"/>
      <c r="EH8" s="69"/>
      <c r="EI8" s="69"/>
      <c r="EJ8" s="69"/>
      <c r="EK8" s="69"/>
      <c r="EL8" s="69"/>
      <c r="EM8" s="69"/>
      <c r="EN8" s="69"/>
      <c r="EO8" s="69"/>
      <c r="EP8" s="69"/>
      <c r="EQ8" s="69"/>
      <c r="ER8" s="69"/>
      <c r="ES8" s="69"/>
      <c r="ET8" s="69"/>
      <c r="EU8" s="69"/>
      <c r="EV8" s="69"/>
      <c r="EW8" s="69"/>
      <c r="EX8" s="69"/>
      <c r="EY8" s="69"/>
      <c r="EZ8" s="69"/>
      <c r="FA8" s="69"/>
      <c r="FB8" s="69"/>
      <c r="FC8" s="69"/>
      <c r="FD8" s="69"/>
      <c r="FE8" s="69"/>
      <c r="FF8" s="69"/>
      <c r="FG8" s="69"/>
      <c r="FH8" s="69"/>
      <c r="FI8" s="69"/>
      <c r="FJ8" s="69"/>
      <c r="FK8" s="69"/>
      <c r="FL8" s="69"/>
      <c r="FM8" s="69"/>
      <c r="FN8" s="69"/>
      <c r="FO8" s="69"/>
      <c r="FP8" s="69"/>
      <c r="FQ8" s="69"/>
      <c r="FR8" s="69"/>
      <c r="FS8" s="69"/>
      <c r="FT8" s="69"/>
      <c r="FU8" s="69"/>
      <c r="FV8" s="69"/>
      <c r="FW8" s="69"/>
      <c r="FX8" s="69"/>
      <c r="FY8" s="69"/>
      <c r="FZ8" s="69"/>
      <c r="GA8" s="69"/>
      <c r="GB8" s="69"/>
      <c r="GC8" s="69"/>
      <c r="GD8" s="69"/>
      <c r="GE8" s="69"/>
      <c r="GF8" s="69"/>
      <c r="GG8" s="69"/>
      <c r="GH8" s="69"/>
      <c r="GI8" s="69"/>
      <c r="GJ8" s="69"/>
      <c r="GK8" s="69"/>
      <c r="GL8" s="69"/>
      <c r="GM8" s="69"/>
      <c r="GN8" s="69"/>
      <c r="GO8" s="69"/>
      <c r="GP8" s="69"/>
      <c r="GQ8" s="69"/>
      <c r="GR8" s="69"/>
      <c r="GS8" s="69"/>
      <c r="GT8" s="69"/>
      <c r="GU8" s="69"/>
      <c r="GV8" s="69"/>
      <c r="GW8" s="69"/>
      <c r="GX8" s="69"/>
      <c r="GY8" s="69"/>
      <c r="GZ8" s="69"/>
      <c r="HA8" s="69"/>
      <c r="HB8" s="69"/>
      <c r="HC8" s="69"/>
      <c r="HD8" s="69"/>
      <c r="HE8" s="69"/>
      <c r="HF8" s="69"/>
      <c r="HG8" s="69"/>
      <c r="HH8" s="69"/>
      <c r="HI8" s="69"/>
      <c r="HJ8" s="69"/>
      <c r="HK8" s="69"/>
      <c r="HL8" s="69"/>
      <c r="HM8" s="69"/>
      <c r="HN8" s="69"/>
      <c r="HO8" s="69"/>
      <c r="HP8" s="69"/>
      <c r="HQ8" s="69"/>
    </row>
    <row r="9" spans="1:225" ht="31.15" customHeight="1" x14ac:dyDescent="0.2">
      <c r="A9" s="65" t="s">
        <v>100</v>
      </c>
    </row>
    <row r="10" spans="1:225" ht="15" customHeight="1" x14ac:dyDescent="0.2">
      <c r="A10" s="113" t="s">
        <v>101</v>
      </c>
    </row>
    <row r="11" spans="1:225" ht="15.4" customHeight="1" x14ac:dyDescent="0.2">
      <c r="A11" s="113" t="s">
        <v>102</v>
      </c>
    </row>
    <row r="12" spans="1:225" ht="31.15" customHeight="1" x14ac:dyDescent="0.2">
      <c r="A12" s="114" t="s">
        <v>103</v>
      </c>
    </row>
    <row r="13" spans="1:225" ht="31.15" customHeight="1" x14ac:dyDescent="0.2">
      <c r="A13" s="71" t="s">
        <v>104</v>
      </c>
      <c r="B13" s="77" t="s">
        <v>105</v>
      </c>
      <c r="C13" s="70" t="s">
        <v>106</v>
      </c>
      <c r="D13" s="74" t="s">
        <v>107</v>
      </c>
      <c r="E13" s="70" t="s">
        <v>108</v>
      </c>
      <c r="F13" s="70" t="s">
        <v>109</v>
      </c>
      <c r="G13" s="70" t="s">
        <v>110</v>
      </c>
      <c r="H13" s="77" t="s">
        <v>111</v>
      </c>
      <c r="I13" s="70" t="s">
        <v>112</v>
      </c>
      <c r="J13" s="74" t="s">
        <v>113</v>
      </c>
      <c r="K13" s="70" t="s">
        <v>114</v>
      </c>
      <c r="L13" s="70" t="s">
        <v>115</v>
      </c>
      <c r="M13" s="74" t="s">
        <v>116</v>
      </c>
      <c r="N13" s="77" t="s">
        <v>117</v>
      </c>
      <c r="O13" s="70" t="s">
        <v>118</v>
      </c>
      <c r="P13" s="74" t="s">
        <v>119</v>
      </c>
      <c r="Q13" s="77" t="s">
        <v>120</v>
      </c>
      <c r="R13" s="70" t="s">
        <v>121</v>
      </c>
      <c r="S13" s="70" t="s">
        <v>122</v>
      </c>
      <c r="T13" s="77" t="s">
        <v>123</v>
      </c>
      <c r="U13" s="70" t="s">
        <v>124</v>
      </c>
      <c r="V13" s="74" t="s">
        <v>125</v>
      </c>
      <c r="W13" s="70" t="s">
        <v>126</v>
      </c>
      <c r="X13" s="70" t="s">
        <v>127</v>
      </c>
      <c r="Y13" s="74" t="s">
        <v>128</v>
      </c>
      <c r="Z13" s="70" t="s">
        <v>129</v>
      </c>
      <c r="AA13" s="70" t="s">
        <v>130</v>
      </c>
      <c r="AB13" s="74" t="s">
        <v>131</v>
      </c>
      <c r="AC13" s="70" t="s">
        <v>132</v>
      </c>
      <c r="AD13" s="70" t="s">
        <v>133</v>
      </c>
      <c r="AE13" s="74" t="s">
        <v>134</v>
      </c>
      <c r="AF13" s="70" t="s">
        <v>135</v>
      </c>
      <c r="AG13" s="70" t="s">
        <v>136</v>
      </c>
      <c r="AH13" s="74" t="s">
        <v>137</v>
      </c>
    </row>
    <row r="14" spans="1:225" ht="15.6" customHeight="1" x14ac:dyDescent="0.2">
      <c r="A14" s="101" t="s">
        <v>138</v>
      </c>
      <c r="B14" s="165">
        <v>701</v>
      </c>
      <c r="C14" s="133" t="s">
        <v>172</v>
      </c>
      <c r="D14" s="125">
        <v>70</v>
      </c>
      <c r="E14" s="79">
        <v>715</v>
      </c>
      <c r="F14" s="78" t="s">
        <v>66</v>
      </c>
      <c r="G14" s="80">
        <v>78</v>
      </c>
      <c r="H14" s="79">
        <v>675</v>
      </c>
      <c r="I14" s="78" t="s">
        <v>66</v>
      </c>
      <c r="J14" s="80">
        <v>78</v>
      </c>
      <c r="K14" s="79">
        <v>716</v>
      </c>
      <c r="L14" s="78" t="s">
        <v>66</v>
      </c>
      <c r="M14" s="80">
        <v>74</v>
      </c>
      <c r="N14" s="79">
        <v>735</v>
      </c>
      <c r="O14" s="78" t="s">
        <v>66</v>
      </c>
      <c r="P14" s="80">
        <v>79</v>
      </c>
      <c r="Q14" s="79">
        <v>759</v>
      </c>
      <c r="R14" s="78" t="s">
        <v>66</v>
      </c>
      <c r="S14" s="80">
        <v>102</v>
      </c>
      <c r="T14" s="89">
        <v>746</v>
      </c>
      <c r="U14" s="78" t="s">
        <v>63</v>
      </c>
      <c r="V14" s="80">
        <v>46</v>
      </c>
      <c r="W14" s="89">
        <v>684</v>
      </c>
      <c r="X14" s="78" t="s">
        <v>63</v>
      </c>
      <c r="Y14" s="80">
        <v>47</v>
      </c>
      <c r="Z14" s="89">
        <v>706</v>
      </c>
      <c r="AA14" s="78" t="s">
        <v>63</v>
      </c>
      <c r="AB14" s="80">
        <v>47</v>
      </c>
      <c r="AC14" s="89">
        <v>733</v>
      </c>
      <c r="AD14" s="78" t="s">
        <v>63</v>
      </c>
      <c r="AE14" s="80">
        <v>49</v>
      </c>
      <c r="AF14" s="89">
        <v>665</v>
      </c>
      <c r="AG14" s="78" t="s">
        <v>63</v>
      </c>
      <c r="AH14" s="80">
        <v>43</v>
      </c>
    </row>
    <row r="15" spans="1:225" ht="15.6" customHeight="1" x14ac:dyDescent="0.2">
      <c r="A15" s="101" t="s">
        <v>139</v>
      </c>
      <c r="B15" s="144">
        <v>782</v>
      </c>
      <c r="C15" s="166" t="s">
        <v>173</v>
      </c>
      <c r="D15" s="128">
        <v>51</v>
      </c>
      <c r="E15" s="51">
        <v>817</v>
      </c>
      <c r="F15" s="75" t="s">
        <v>63</v>
      </c>
      <c r="G15" s="60">
        <v>70</v>
      </c>
      <c r="H15" s="51">
        <v>877</v>
      </c>
      <c r="I15" s="75" t="s">
        <v>63</v>
      </c>
      <c r="J15" s="60">
        <v>85</v>
      </c>
      <c r="K15" s="51">
        <v>878</v>
      </c>
      <c r="L15" s="75" t="s">
        <v>63</v>
      </c>
      <c r="M15" s="60">
        <v>66</v>
      </c>
      <c r="N15" s="51">
        <v>825</v>
      </c>
      <c r="O15" s="75" t="s">
        <v>63</v>
      </c>
      <c r="P15" s="60">
        <v>62</v>
      </c>
      <c r="Q15" s="51">
        <v>786</v>
      </c>
      <c r="R15" s="75" t="s">
        <v>63</v>
      </c>
      <c r="S15" s="60">
        <v>55</v>
      </c>
      <c r="T15" s="51">
        <v>835</v>
      </c>
      <c r="U15" s="75" t="s">
        <v>63</v>
      </c>
      <c r="V15" s="60">
        <v>36</v>
      </c>
      <c r="W15" s="51">
        <v>876</v>
      </c>
      <c r="X15" s="75" t="s">
        <v>63</v>
      </c>
      <c r="Y15" s="60">
        <v>36</v>
      </c>
      <c r="Z15" s="51">
        <v>782</v>
      </c>
      <c r="AA15" s="75" t="s">
        <v>63</v>
      </c>
      <c r="AB15" s="60">
        <v>36</v>
      </c>
      <c r="AC15" s="51">
        <v>803</v>
      </c>
      <c r="AD15" s="75" t="s">
        <v>63</v>
      </c>
      <c r="AE15" s="60">
        <v>35</v>
      </c>
      <c r="AF15" s="51">
        <v>817</v>
      </c>
      <c r="AG15" s="75" t="s">
        <v>63</v>
      </c>
      <c r="AH15" s="60">
        <v>33</v>
      </c>
    </row>
    <row r="16" spans="1:225" ht="15.6" customHeight="1" x14ac:dyDescent="0.2">
      <c r="A16" s="101" t="s">
        <v>140</v>
      </c>
      <c r="B16" s="144">
        <v>368</v>
      </c>
      <c r="C16" s="166" t="s">
        <v>173</v>
      </c>
      <c r="D16" s="128">
        <v>34</v>
      </c>
      <c r="E16" s="57">
        <v>357</v>
      </c>
      <c r="F16" s="75" t="s">
        <v>66</v>
      </c>
      <c r="G16" s="60">
        <v>39</v>
      </c>
      <c r="H16" s="57">
        <v>404</v>
      </c>
      <c r="I16" s="75" t="s">
        <v>66</v>
      </c>
      <c r="J16" s="60">
        <v>42</v>
      </c>
      <c r="K16" s="51">
        <v>329</v>
      </c>
      <c r="L16" s="75" t="s">
        <v>63</v>
      </c>
      <c r="M16" s="60">
        <v>31</v>
      </c>
      <c r="N16" s="51">
        <v>352</v>
      </c>
      <c r="O16" s="75" t="s">
        <v>63</v>
      </c>
      <c r="P16" s="60">
        <v>32</v>
      </c>
      <c r="Q16" s="51">
        <v>365</v>
      </c>
      <c r="R16" s="75" t="s">
        <v>63</v>
      </c>
      <c r="S16" s="60">
        <v>32</v>
      </c>
      <c r="T16" s="51">
        <v>344</v>
      </c>
      <c r="U16" s="75" t="s">
        <v>63</v>
      </c>
      <c r="V16" s="60">
        <v>27</v>
      </c>
      <c r="W16" s="51">
        <v>365</v>
      </c>
      <c r="X16" s="75" t="s">
        <v>63</v>
      </c>
      <c r="Y16" s="60">
        <v>27</v>
      </c>
      <c r="Z16" s="51">
        <v>401</v>
      </c>
      <c r="AA16" s="75" t="s">
        <v>63</v>
      </c>
      <c r="AB16" s="60">
        <v>28</v>
      </c>
      <c r="AC16" s="51">
        <v>354</v>
      </c>
      <c r="AD16" s="75" t="s">
        <v>63</v>
      </c>
      <c r="AE16" s="60">
        <v>26</v>
      </c>
      <c r="AF16" s="51">
        <v>363</v>
      </c>
      <c r="AG16" s="75" t="s">
        <v>63</v>
      </c>
      <c r="AH16" s="60">
        <v>25</v>
      </c>
    </row>
    <row r="17" spans="1:34" ht="15.6" customHeight="1" x14ac:dyDescent="0.2">
      <c r="A17" s="101" t="s">
        <v>141</v>
      </c>
      <c r="B17" s="144">
        <v>328</v>
      </c>
      <c r="C17" s="166" t="s">
        <v>173</v>
      </c>
      <c r="D17" s="128">
        <v>30</v>
      </c>
      <c r="E17" s="57">
        <v>338</v>
      </c>
      <c r="F17" s="75" t="s">
        <v>66</v>
      </c>
      <c r="G17" s="60">
        <v>36</v>
      </c>
      <c r="H17" s="57">
        <v>307</v>
      </c>
      <c r="I17" s="75" t="s">
        <v>66</v>
      </c>
      <c r="J17" s="60">
        <v>38</v>
      </c>
      <c r="K17" s="57">
        <v>308</v>
      </c>
      <c r="L17" s="75" t="s">
        <v>66</v>
      </c>
      <c r="M17" s="60">
        <v>31</v>
      </c>
      <c r="N17" s="51">
        <v>292</v>
      </c>
      <c r="O17" s="75" t="s">
        <v>63</v>
      </c>
      <c r="P17" s="60">
        <v>26</v>
      </c>
      <c r="Q17" s="57">
        <v>324</v>
      </c>
      <c r="R17" s="75" t="s">
        <v>66</v>
      </c>
      <c r="S17" s="60">
        <v>34</v>
      </c>
      <c r="T17" s="51">
        <v>290</v>
      </c>
      <c r="U17" s="75" t="s">
        <v>63</v>
      </c>
      <c r="V17" s="60">
        <v>22</v>
      </c>
      <c r="W17" s="51">
        <v>274</v>
      </c>
      <c r="X17" s="75" t="s">
        <v>63</v>
      </c>
      <c r="Y17" s="60">
        <v>21</v>
      </c>
      <c r="Z17" s="51">
        <v>280</v>
      </c>
      <c r="AA17" s="75" t="s">
        <v>63</v>
      </c>
      <c r="AB17" s="60">
        <v>21</v>
      </c>
      <c r="AC17" s="51">
        <v>315</v>
      </c>
      <c r="AD17" s="75" t="s">
        <v>63</v>
      </c>
      <c r="AE17" s="60">
        <v>21</v>
      </c>
      <c r="AF17" s="51">
        <v>308</v>
      </c>
      <c r="AG17" s="75" t="s">
        <v>63</v>
      </c>
      <c r="AH17" s="60">
        <v>21</v>
      </c>
    </row>
    <row r="18" spans="1:34" ht="15.6" customHeight="1" x14ac:dyDescent="0.2">
      <c r="A18" s="101" t="s">
        <v>142</v>
      </c>
      <c r="B18" s="167">
        <v>134</v>
      </c>
      <c r="C18" s="166" t="s">
        <v>172</v>
      </c>
      <c r="D18" s="128">
        <v>20</v>
      </c>
      <c r="E18" s="62">
        <v>107</v>
      </c>
      <c r="F18" s="75" t="s">
        <v>69</v>
      </c>
      <c r="G18" s="60">
        <v>27</v>
      </c>
      <c r="H18" s="62">
        <v>75</v>
      </c>
      <c r="I18" s="75" t="s">
        <v>69</v>
      </c>
      <c r="J18" s="60">
        <v>22</v>
      </c>
      <c r="K18" s="57">
        <v>93</v>
      </c>
      <c r="L18" s="75" t="s">
        <v>66</v>
      </c>
      <c r="M18" s="60">
        <v>17</v>
      </c>
      <c r="N18" s="57">
        <v>110</v>
      </c>
      <c r="O18" s="75" t="s">
        <v>66</v>
      </c>
      <c r="P18" s="60">
        <v>21</v>
      </c>
      <c r="Q18" s="62">
        <v>85</v>
      </c>
      <c r="R18" s="75" t="s">
        <v>69</v>
      </c>
      <c r="S18" s="60">
        <v>18</v>
      </c>
      <c r="T18" s="57">
        <v>89</v>
      </c>
      <c r="U18" s="75" t="s">
        <v>66</v>
      </c>
      <c r="V18" s="60">
        <v>14</v>
      </c>
      <c r="W18" s="57">
        <v>86</v>
      </c>
      <c r="X18" s="75" t="s">
        <v>66</v>
      </c>
      <c r="Y18" s="60">
        <v>13</v>
      </c>
      <c r="Z18" s="57">
        <v>98</v>
      </c>
      <c r="AA18" s="75" t="s">
        <v>66</v>
      </c>
      <c r="AB18" s="60">
        <v>14</v>
      </c>
      <c r="AC18" s="57">
        <v>96</v>
      </c>
      <c r="AD18" s="75" t="s">
        <v>66</v>
      </c>
      <c r="AE18" s="60">
        <v>13</v>
      </c>
      <c r="AF18" s="57">
        <v>92</v>
      </c>
      <c r="AG18" s="75" t="s">
        <v>66</v>
      </c>
      <c r="AH18" s="60">
        <v>13</v>
      </c>
    </row>
    <row r="19" spans="1:34" ht="15.6" customHeight="1" x14ac:dyDescent="0.2">
      <c r="A19" s="101" t="s">
        <v>143</v>
      </c>
      <c r="B19" s="168">
        <v>43</v>
      </c>
      <c r="C19" s="166" t="s">
        <v>174</v>
      </c>
      <c r="D19" s="128">
        <v>15</v>
      </c>
      <c r="E19" s="58">
        <v>34</v>
      </c>
      <c r="F19" s="75" t="s">
        <v>72</v>
      </c>
      <c r="G19" s="60">
        <v>15</v>
      </c>
      <c r="H19" s="58">
        <v>37</v>
      </c>
      <c r="I19" s="75" t="s">
        <v>72</v>
      </c>
      <c r="J19" s="60">
        <v>18</v>
      </c>
      <c r="K19" s="62">
        <v>46</v>
      </c>
      <c r="L19" s="75" t="s">
        <v>69</v>
      </c>
      <c r="M19" s="60">
        <v>15</v>
      </c>
      <c r="N19" s="62">
        <v>43</v>
      </c>
      <c r="O19" s="75" t="s">
        <v>69</v>
      </c>
      <c r="P19" s="60">
        <v>16</v>
      </c>
      <c r="Q19" s="62">
        <v>44</v>
      </c>
      <c r="R19" s="75" t="s">
        <v>69</v>
      </c>
      <c r="S19" s="60">
        <v>15</v>
      </c>
      <c r="T19" s="57">
        <v>57</v>
      </c>
      <c r="U19" s="75" t="s">
        <v>66</v>
      </c>
      <c r="V19" s="60">
        <v>11</v>
      </c>
      <c r="W19" s="62">
        <v>53</v>
      </c>
      <c r="X19" s="75" t="s">
        <v>69</v>
      </c>
      <c r="Y19" s="60">
        <v>9</v>
      </c>
      <c r="Z19" s="62">
        <v>46</v>
      </c>
      <c r="AA19" s="75" t="s">
        <v>69</v>
      </c>
      <c r="AB19" s="60">
        <v>8</v>
      </c>
      <c r="AC19" s="62">
        <v>32</v>
      </c>
      <c r="AD19" s="75" t="s">
        <v>69</v>
      </c>
      <c r="AE19" s="60">
        <v>6</v>
      </c>
      <c r="AF19" s="62">
        <v>36</v>
      </c>
      <c r="AG19" s="75" t="s">
        <v>69</v>
      </c>
      <c r="AH19" s="60">
        <v>8</v>
      </c>
    </row>
    <row r="20" spans="1:34" ht="15.6" customHeight="1" x14ac:dyDescent="0.2">
      <c r="A20" s="103" t="s">
        <v>144</v>
      </c>
      <c r="B20" s="169">
        <v>29</v>
      </c>
      <c r="C20" s="166" t="s">
        <v>175</v>
      </c>
      <c r="D20" s="128">
        <v>12</v>
      </c>
      <c r="E20" s="58">
        <v>21</v>
      </c>
      <c r="F20" s="75" t="s">
        <v>72</v>
      </c>
      <c r="G20" s="60">
        <v>11</v>
      </c>
      <c r="H20" s="58">
        <v>30</v>
      </c>
      <c r="I20" s="75" t="s">
        <v>72</v>
      </c>
      <c r="J20" s="60">
        <v>16</v>
      </c>
      <c r="K20" s="58">
        <v>29</v>
      </c>
      <c r="L20" s="75" t="s">
        <v>72</v>
      </c>
      <c r="M20" s="60">
        <v>12</v>
      </c>
      <c r="N20" s="58">
        <v>33</v>
      </c>
      <c r="O20" s="75" t="s">
        <v>72</v>
      </c>
      <c r="P20" s="60">
        <v>15</v>
      </c>
      <c r="Q20" s="58">
        <v>28</v>
      </c>
      <c r="R20" s="75" t="s">
        <v>72</v>
      </c>
      <c r="S20" s="60">
        <v>11</v>
      </c>
      <c r="T20" s="62">
        <v>39</v>
      </c>
      <c r="U20" s="75" t="s">
        <v>69</v>
      </c>
      <c r="V20" s="60">
        <v>10</v>
      </c>
      <c r="W20" s="62">
        <v>40</v>
      </c>
      <c r="X20" s="75" t="s">
        <v>69</v>
      </c>
      <c r="Y20" s="60">
        <v>9</v>
      </c>
      <c r="Z20" s="62">
        <v>32</v>
      </c>
      <c r="AA20" s="75" t="s">
        <v>69</v>
      </c>
      <c r="AB20" s="60">
        <v>8</v>
      </c>
      <c r="AC20" s="62">
        <v>18</v>
      </c>
      <c r="AD20" s="75" t="s">
        <v>69</v>
      </c>
      <c r="AE20" s="60">
        <v>6</v>
      </c>
      <c r="AF20" s="62">
        <v>23</v>
      </c>
      <c r="AG20" s="75" t="s">
        <v>69</v>
      </c>
      <c r="AH20" s="60">
        <v>7</v>
      </c>
    </row>
    <row r="21" spans="1:34" ht="15.6" customHeight="1" x14ac:dyDescent="0.2">
      <c r="A21" s="104" t="s">
        <v>145</v>
      </c>
      <c r="B21" s="170">
        <v>14</v>
      </c>
      <c r="C21" s="136" t="s">
        <v>175</v>
      </c>
      <c r="D21" s="171">
        <v>8</v>
      </c>
      <c r="E21" s="160">
        <v>13</v>
      </c>
      <c r="F21" s="157" t="s">
        <v>72</v>
      </c>
      <c r="G21" s="90">
        <v>11</v>
      </c>
      <c r="H21" s="160">
        <v>7</v>
      </c>
      <c r="I21" s="157" t="s">
        <v>72</v>
      </c>
      <c r="J21" s="90">
        <v>9</v>
      </c>
      <c r="K21" s="160">
        <v>17</v>
      </c>
      <c r="L21" s="157" t="s">
        <v>72</v>
      </c>
      <c r="M21" s="90">
        <v>10</v>
      </c>
      <c r="N21" s="160">
        <v>10</v>
      </c>
      <c r="O21" s="157" t="s">
        <v>72</v>
      </c>
      <c r="P21" s="90">
        <v>8</v>
      </c>
      <c r="Q21" s="160">
        <v>16</v>
      </c>
      <c r="R21" s="157" t="s">
        <v>72</v>
      </c>
      <c r="S21" s="90">
        <v>9</v>
      </c>
      <c r="T21" s="97">
        <v>18</v>
      </c>
      <c r="U21" s="157" t="s">
        <v>69</v>
      </c>
      <c r="V21" s="90">
        <v>6</v>
      </c>
      <c r="W21" s="160">
        <v>14</v>
      </c>
      <c r="X21" s="157" t="s">
        <v>72</v>
      </c>
      <c r="Y21" s="90">
        <v>6</v>
      </c>
      <c r="Z21" s="160">
        <v>14</v>
      </c>
      <c r="AA21" s="157" t="s">
        <v>72</v>
      </c>
      <c r="AB21" s="90">
        <v>5</v>
      </c>
      <c r="AC21" s="97">
        <v>14</v>
      </c>
      <c r="AD21" s="157" t="s">
        <v>69</v>
      </c>
      <c r="AE21" s="90">
        <v>5</v>
      </c>
      <c r="AF21" s="97">
        <v>14</v>
      </c>
      <c r="AG21" s="157" t="s">
        <v>69</v>
      </c>
      <c r="AH21" s="90">
        <v>5</v>
      </c>
    </row>
    <row r="22" spans="1:34" ht="15.6" customHeight="1" x14ac:dyDescent="0.2">
      <c r="A22" s="76" t="s">
        <v>147</v>
      </c>
      <c r="B22" s="162">
        <v>2356</v>
      </c>
      <c r="C22" s="163" t="s">
        <v>173</v>
      </c>
      <c r="D22" s="164">
        <v>65</v>
      </c>
      <c r="E22" s="48">
        <v>2369</v>
      </c>
      <c r="F22" s="157" t="s">
        <v>63</v>
      </c>
      <c r="G22" s="48">
        <v>78</v>
      </c>
      <c r="H22" s="49">
        <v>2375</v>
      </c>
      <c r="I22" s="157" t="s">
        <v>63</v>
      </c>
      <c r="J22" s="90">
        <v>70</v>
      </c>
      <c r="K22" s="48">
        <v>2370</v>
      </c>
      <c r="L22" s="157" t="s">
        <v>63</v>
      </c>
      <c r="M22" s="90">
        <v>67</v>
      </c>
      <c r="N22" s="48">
        <v>2358</v>
      </c>
      <c r="O22" s="157" t="s">
        <v>63</v>
      </c>
      <c r="P22" s="90">
        <v>67</v>
      </c>
      <c r="Q22" s="48">
        <v>2362</v>
      </c>
      <c r="R22" s="157" t="s">
        <v>63</v>
      </c>
      <c r="S22" s="48">
        <v>84</v>
      </c>
      <c r="T22" s="49">
        <v>2360</v>
      </c>
      <c r="U22" s="157" t="s">
        <v>63</v>
      </c>
      <c r="V22" s="90">
        <v>29</v>
      </c>
      <c r="W22" s="48">
        <v>2338</v>
      </c>
      <c r="X22" s="157" t="s">
        <v>63</v>
      </c>
      <c r="Y22" s="90">
        <v>30</v>
      </c>
      <c r="Z22" s="48">
        <v>2314</v>
      </c>
      <c r="AA22" s="157" t="s">
        <v>63</v>
      </c>
      <c r="AB22" s="90">
        <v>29</v>
      </c>
      <c r="AC22" s="48">
        <v>2333</v>
      </c>
      <c r="AD22" s="157" t="s">
        <v>63</v>
      </c>
      <c r="AE22" s="90">
        <v>30</v>
      </c>
      <c r="AF22" s="48">
        <v>2281</v>
      </c>
      <c r="AG22" s="157" t="s">
        <v>63</v>
      </c>
      <c r="AH22" s="90">
        <v>28</v>
      </c>
    </row>
    <row r="23" spans="1:34" ht="15.6" customHeight="1" x14ac:dyDescent="0.2">
      <c r="A23" s="84" t="s">
        <v>148</v>
      </c>
      <c r="B23" s="143">
        <v>2.39</v>
      </c>
      <c r="C23" s="136" t="s">
        <v>173</v>
      </c>
      <c r="D23" s="123">
        <v>7.0000000000000007E-2</v>
      </c>
      <c r="E23" s="137">
        <v>2.33</v>
      </c>
      <c r="F23" s="47" t="s">
        <v>63</v>
      </c>
      <c r="G23" s="137">
        <v>0.08</v>
      </c>
      <c r="H23" s="138">
        <v>2.31</v>
      </c>
      <c r="I23" s="47" t="s">
        <v>63</v>
      </c>
      <c r="J23" s="139">
        <v>7.0000000000000007E-2</v>
      </c>
      <c r="K23" s="137">
        <v>2.2999999999999998</v>
      </c>
      <c r="L23" s="47" t="s">
        <v>63</v>
      </c>
      <c r="M23" s="139">
        <v>7.0000000000000007E-2</v>
      </c>
      <c r="N23" s="137">
        <v>2.31</v>
      </c>
      <c r="O23" s="47" t="s">
        <v>63</v>
      </c>
      <c r="P23" s="139">
        <v>7.0000000000000007E-2</v>
      </c>
      <c r="Q23" s="137">
        <v>2.2999999999999998</v>
      </c>
      <c r="R23" s="47" t="s">
        <v>63</v>
      </c>
      <c r="S23" s="137">
        <v>0.08</v>
      </c>
      <c r="T23" s="138">
        <v>2.2999999999999998</v>
      </c>
      <c r="U23" s="47" t="s">
        <v>63</v>
      </c>
      <c r="V23" s="139">
        <v>0.03</v>
      </c>
      <c r="W23" s="137">
        <v>2.31</v>
      </c>
      <c r="X23" s="47" t="s">
        <v>63</v>
      </c>
      <c r="Y23" s="139">
        <v>0.03</v>
      </c>
      <c r="Z23" s="137">
        <v>2.33</v>
      </c>
      <c r="AA23" s="47" t="s">
        <v>63</v>
      </c>
      <c r="AB23" s="139">
        <v>0.03</v>
      </c>
      <c r="AC23" s="137">
        <v>2.2999999999999998</v>
      </c>
      <c r="AD23" s="47" t="s">
        <v>63</v>
      </c>
      <c r="AE23" s="139">
        <v>0.03</v>
      </c>
      <c r="AF23" s="137">
        <v>2.33</v>
      </c>
      <c r="AG23" s="47" t="s">
        <v>63</v>
      </c>
      <c r="AH23" s="139">
        <v>0.03</v>
      </c>
    </row>
    <row r="24" spans="1:34" ht="15.6" customHeight="1" x14ac:dyDescent="0.2"/>
    <row r="25" spans="1:34" ht="15.6" customHeight="1" x14ac:dyDescent="0.2"/>
  </sheetData>
  <hyperlinks>
    <hyperlink ref="A10" r:id="rId1" xr:uid="{00000000-0004-0000-0600-000000000000}"/>
    <hyperlink ref="A11" r:id="rId2" xr:uid="{00000000-0004-0000-0600-000001000000}"/>
    <hyperlink ref="A12" r:id="rId3" xr:uid="{00000000-0004-0000-0600-000002000000}"/>
  </hyperlinks>
  <pageMargins left="0.7" right="0.7" top="0.75" bottom="0.75" header="0.3" footer="0.3"/>
  <pageSetup paperSize="9" orientation="portrait"/>
  <tableParts count="1">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HO25"/>
  <sheetViews>
    <sheetView showGridLines="0" showZeros="0" workbookViewId="0"/>
  </sheetViews>
  <sheetFormatPr defaultColWidth="10.88671875" defaultRowHeight="15" x14ac:dyDescent="0.2"/>
  <cols>
    <col min="1" max="1" width="55.6640625" customWidth="1"/>
    <col min="2" max="2" width="13.109375" bestFit="1" customWidth="1"/>
    <col min="3" max="3" width="8.21875" bestFit="1" customWidth="1"/>
    <col min="4" max="4" width="9.44140625" bestFit="1" customWidth="1"/>
    <col min="5" max="5" width="13.109375" bestFit="1" customWidth="1"/>
    <col min="6" max="6" width="8.21875" bestFit="1" customWidth="1"/>
    <col min="7" max="7" width="9.44140625" bestFit="1" customWidth="1"/>
    <col min="8" max="8" width="13.109375" bestFit="1" customWidth="1"/>
    <col min="9" max="9" width="8.21875" bestFit="1" customWidth="1"/>
    <col min="10" max="10" width="9.44140625" bestFit="1" customWidth="1"/>
    <col min="11" max="11" width="13.109375" bestFit="1" customWidth="1"/>
    <col min="12" max="12" width="8.21875" bestFit="1" customWidth="1"/>
    <col min="13" max="13" width="9.44140625" bestFit="1" customWidth="1"/>
    <col min="14" max="14" width="13.109375" bestFit="1" customWidth="1"/>
    <col min="15" max="15" width="8.21875" bestFit="1" customWidth="1"/>
    <col min="16" max="16" width="9.44140625" bestFit="1" customWidth="1"/>
    <col min="17" max="17" width="13.109375" bestFit="1" customWidth="1"/>
    <col min="18" max="18" width="8.21875" bestFit="1" customWidth="1"/>
    <col min="19" max="19" width="9.44140625" bestFit="1" customWidth="1"/>
    <col min="20" max="20" width="13.109375" bestFit="1" customWidth="1"/>
    <col min="21" max="21" width="8.21875" bestFit="1" customWidth="1"/>
    <col min="22" max="22" width="9.44140625" bestFit="1" customWidth="1"/>
    <col min="23" max="23" width="13.109375" bestFit="1" customWidth="1"/>
    <col min="24" max="24" width="8.21875" bestFit="1" customWidth="1"/>
    <col min="25" max="25" width="9.44140625" bestFit="1" customWidth="1"/>
    <col min="26" max="26" width="13.109375" bestFit="1" customWidth="1"/>
    <col min="27" max="27" width="8.21875" bestFit="1" customWidth="1"/>
    <col min="28" max="28" width="9.44140625" bestFit="1" customWidth="1"/>
    <col min="29" max="29" width="13.109375" bestFit="1" customWidth="1"/>
    <col min="30" max="30" width="8.21875" bestFit="1" customWidth="1"/>
    <col min="31" max="31" width="9.44140625" bestFit="1" customWidth="1"/>
    <col min="32" max="32" width="13.109375" bestFit="1" customWidth="1"/>
    <col min="33" max="33" width="8.21875" bestFit="1" customWidth="1"/>
    <col min="34" max="34" width="9.44140625" bestFit="1" customWidth="1"/>
  </cols>
  <sheetData>
    <row r="1" spans="1:223" ht="19.899999999999999" customHeight="1" x14ac:dyDescent="0.3">
      <c r="A1" s="193" t="s">
        <v>0</v>
      </c>
    </row>
    <row r="2" spans="1:223" ht="31.15" customHeight="1" x14ac:dyDescent="0.2">
      <c r="A2" s="194" t="s">
        <v>153</v>
      </c>
    </row>
    <row r="3" spans="1:223" ht="15.4" customHeight="1" x14ac:dyDescent="0.2">
      <c r="A3" s="101" t="s">
        <v>154</v>
      </c>
    </row>
    <row r="4" spans="1:223" ht="15.4" customHeight="1" x14ac:dyDescent="0.2">
      <c r="A4" s="101" t="s">
        <v>98</v>
      </c>
    </row>
    <row r="5" spans="1:223" ht="15.6" customHeight="1" x14ac:dyDescent="0.2">
      <c r="A5" s="101" t="s">
        <v>99</v>
      </c>
    </row>
    <row r="6" spans="1:223" ht="15.6" customHeight="1" x14ac:dyDescent="0.2">
      <c r="A6" s="101" t="s">
        <v>179</v>
      </c>
    </row>
    <row r="7" spans="1:223" ht="15.6" customHeight="1" x14ac:dyDescent="0.2">
      <c r="A7" s="101" t="s">
        <v>180</v>
      </c>
    </row>
    <row r="8" spans="1:223" ht="15.4" customHeight="1" x14ac:dyDescent="0.25">
      <c r="A8" s="101" t="s">
        <v>181</v>
      </c>
      <c r="B8" s="68"/>
      <c r="C8" s="68"/>
      <c r="D8" s="68"/>
      <c r="E8" s="68"/>
      <c r="F8" s="68"/>
      <c r="G8" s="68"/>
      <c r="H8" s="68"/>
      <c r="I8" s="68"/>
      <c r="J8" s="68"/>
      <c r="K8" s="68"/>
      <c r="L8" s="68"/>
      <c r="M8" s="68"/>
      <c r="N8" s="68"/>
      <c r="O8" s="68"/>
      <c r="P8" s="68"/>
      <c r="Q8" s="68"/>
      <c r="R8" s="68"/>
      <c r="S8" s="68"/>
      <c r="T8" s="68"/>
      <c r="U8" s="68"/>
      <c r="V8" s="68"/>
      <c r="W8" s="69"/>
      <c r="X8" s="69"/>
      <c r="Y8" s="69"/>
      <c r="Z8" s="69"/>
      <c r="AA8" s="69"/>
      <c r="AB8" s="69"/>
      <c r="AC8" s="69"/>
      <c r="AD8" s="69"/>
      <c r="AE8" s="69"/>
      <c r="AF8" s="69"/>
      <c r="AG8" s="69"/>
      <c r="AH8" s="69"/>
      <c r="AI8" s="69"/>
      <c r="AJ8" s="69"/>
      <c r="AK8" s="69"/>
      <c r="AL8" s="69"/>
      <c r="AM8" s="69"/>
      <c r="AN8" s="69"/>
      <c r="AO8" s="69"/>
      <c r="AP8" s="69"/>
      <c r="AQ8" s="69"/>
      <c r="AR8" s="69"/>
      <c r="AS8" s="69"/>
      <c r="AT8" s="69"/>
      <c r="AU8" s="69"/>
      <c r="AV8" s="69"/>
      <c r="AW8" s="69"/>
      <c r="AX8" s="69"/>
      <c r="AY8" s="69"/>
      <c r="AZ8" s="69"/>
      <c r="BA8" s="69"/>
      <c r="BB8" s="69"/>
      <c r="BC8" s="69"/>
      <c r="BD8" s="69"/>
      <c r="BE8" s="69"/>
      <c r="BF8" s="69"/>
      <c r="BG8" s="69"/>
      <c r="BH8" s="69"/>
      <c r="BI8" s="69"/>
      <c r="BJ8" s="69"/>
      <c r="BK8" s="69"/>
      <c r="BL8" s="69"/>
      <c r="BM8" s="69"/>
      <c r="BN8" s="69"/>
      <c r="BO8" s="69"/>
      <c r="BP8" s="69"/>
      <c r="BQ8" s="69"/>
      <c r="BR8" s="69"/>
      <c r="BS8" s="69"/>
      <c r="BT8" s="69"/>
      <c r="BU8" s="69"/>
      <c r="BV8" s="69"/>
      <c r="BW8" s="69"/>
      <c r="BX8" s="69"/>
      <c r="BY8" s="69"/>
      <c r="BZ8" s="69"/>
      <c r="CA8" s="69"/>
      <c r="CB8" s="69"/>
      <c r="CC8" s="69"/>
      <c r="CD8" s="69"/>
      <c r="CE8" s="69"/>
      <c r="CF8" s="69"/>
      <c r="CG8" s="69"/>
      <c r="CH8" s="69"/>
      <c r="CI8" s="69"/>
      <c r="CJ8" s="69"/>
      <c r="CK8" s="69"/>
      <c r="CL8" s="69"/>
      <c r="CM8" s="69"/>
      <c r="CN8" s="69"/>
      <c r="CO8" s="69"/>
      <c r="CP8" s="69"/>
      <c r="CQ8" s="69"/>
      <c r="CR8" s="69"/>
      <c r="CS8" s="69"/>
      <c r="CT8" s="69"/>
      <c r="CU8" s="69"/>
      <c r="CV8" s="69"/>
      <c r="CW8" s="69"/>
      <c r="CX8" s="69"/>
      <c r="CY8" s="69"/>
      <c r="CZ8" s="69"/>
      <c r="DA8" s="69"/>
      <c r="DB8" s="69"/>
      <c r="DC8" s="69"/>
      <c r="DD8" s="69"/>
      <c r="DE8" s="69"/>
      <c r="DF8" s="69"/>
      <c r="DG8" s="69"/>
      <c r="DH8" s="69"/>
      <c r="DI8" s="69"/>
      <c r="DJ8" s="69"/>
      <c r="DK8" s="69"/>
      <c r="DL8" s="69"/>
      <c r="DM8" s="69"/>
      <c r="DN8" s="69"/>
      <c r="DO8" s="69"/>
      <c r="DP8" s="69"/>
      <c r="DQ8" s="69"/>
      <c r="DR8" s="69"/>
      <c r="DS8" s="69"/>
      <c r="DT8" s="69"/>
      <c r="DU8" s="69"/>
      <c r="DV8" s="69"/>
      <c r="DW8" s="69"/>
      <c r="DX8" s="69"/>
      <c r="DY8" s="69"/>
      <c r="DZ8" s="69"/>
      <c r="EA8" s="69"/>
      <c r="EB8" s="69"/>
      <c r="EC8" s="69"/>
      <c r="ED8" s="69"/>
      <c r="EE8" s="69"/>
      <c r="EF8" s="69"/>
      <c r="EG8" s="69"/>
      <c r="EH8" s="69"/>
      <c r="EI8" s="69"/>
      <c r="EJ8" s="69"/>
      <c r="EK8" s="69"/>
      <c r="EL8" s="69"/>
      <c r="EM8" s="69"/>
      <c r="EN8" s="69"/>
      <c r="EO8" s="69"/>
      <c r="EP8" s="69"/>
      <c r="EQ8" s="69"/>
      <c r="ER8" s="69"/>
      <c r="ES8" s="69"/>
      <c r="ET8" s="69"/>
      <c r="EU8" s="69"/>
      <c r="EV8" s="69"/>
      <c r="EW8" s="69"/>
      <c r="EX8" s="69"/>
      <c r="EY8" s="69"/>
      <c r="EZ8" s="69"/>
      <c r="FA8" s="69"/>
      <c r="FB8" s="69"/>
      <c r="FC8" s="69"/>
      <c r="FD8" s="69"/>
      <c r="FE8" s="69"/>
      <c r="FF8" s="69"/>
      <c r="FG8" s="69"/>
      <c r="FH8" s="69"/>
      <c r="FI8" s="69"/>
      <c r="FJ8" s="69"/>
      <c r="FK8" s="69"/>
      <c r="FL8" s="69"/>
      <c r="FM8" s="69"/>
      <c r="FN8" s="69"/>
      <c r="FO8" s="69"/>
      <c r="FP8" s="69"/>
      <c r="FQ8" s="69"/>
      <c r="FR8" s="69"/>
      <c r="FS8" s="69"/>
      <c r="FT8" s="69"/>
      <c r="FU8" s="69"/>
      <c r="FV8" s="69"/>
      <c r="FW8" s="69"/>
      <c r="FX8" s="69"/>
      <c r="FY8" s="69"/>
      <c r="FZ8" s="69"/>
      <c r="GA8" s="69"/>
      <c r="GB8" s="69"/>
      <c r="GC8" s="69"/>
      <c r="GD8" s="69"/>
      <c r="GE8" s="69"/>
      <c r="GF8" s="69"/>
      <c r="GG8" s="69"/>
      <c r="GH8" s="69"/>
      <c r="GI8" s="69"/>
      <c r="GJ8" s="69"/>
      <c r="GK8" s="69"/>
      <c r="GL8" s="69"/>
      <c r="GM8" s="69"/>
      <c r="GN8" s="69"/>
      <c r="GO8" s="69"/>
      <c r="GP8" s="69"/>
      <c r="GQ8" s="69"/>
      <c r="GR8" s="69"/>
      <c r="GS8" s="69"/>
      <c r="GT8" s="69"/>
      <c r="GU8" s="69"/>
      <c r="GV8" s="69"/>
      <c r="GW8" s="69"/>
      <c r="GX8" s="69"/>
      <c r="GY8" s="69"/>
      <c r="GZ8" s="69"/>
      <c r="HA8" s="69"/>
      <c r="HB8" s="69"/>
      <c r="HC8" s="69"/>
      <c r="HD8" s="69"/>
      <c r="HE8" s="69"/>
      <c r="HF8" s="69"/>
      <c r="HG8" s="69"/>
      <c r="HH8" s="69"/>
      <c r="HI8" s="69"/>
      <c r="HJ8" s="69"/>
      <c r="HK8" s="69"/>
      <c r="HL8" s="69"/>
      <c r="HM8" s="69"/>
      <c r="HN8" s="69"/>
      <c r="HO8" s="69"/>
    </row>
    <row r="9" spans="1:223" ht="31.15" customHeight="1" x14ac:dyDescent="0.2">
      <c r="A9" s="65" t="s">
        <v>100</v>
      </c>
    </row>
    <row r="10" spans="1:223" ht="15" customHeight="1" x14ac:dyDescent="0.2">
      <c r="A10" s="113" t="s">
        <v>101</v>
      </c>
    </row>
    <row r="11" spans="1:223" ht="15.4" customHeight="1" x14ac:dyDescent="0.2">
      <c r="A11" s="113" t="s">
        <v>102</v>
      </c>
    </row>
    <row r="12" spans="1:223" ht="31.15" customHeight="1" x14ac:dyDescent="0.2">
      <c r="A12" s="114" t="s">
        <v>103</v>
      </c>
    </row>
    <row r="13" spans="1:223" ht="31.15" customHeight="1" x14ac:dyDescent="0.2">
      <c r="A13" s="71" t="s">
        <v>104</v>
      </c>
      <c r="B13" s="77" t="s">
        <v>105</v>
      </c>
      <c r="C13" s="70" t="s">
        <v>106</v>
      </c>
      <c r="D13" s="74" t="s">
        <v>107</v>
      </c>
      <c r="E13" s="70" t="s">
        <v>108</v>
      </c>
      <c r="F13" s="70" t="s">
        <v>109</v>
      </c>
      <c r="G13" s="70" t="s">
        <v>110</v>
      </c>
      <c r="H13" s="77" t="s">
        <v>111</v>
      </c>
      <c r="I13" s="70" t="s">
        <v>112</v>
      </c>
      <c r="J13" s="74" t="s">
        <v>113</v>
      </c>
      <c r="K13" s="70" t="s">
        <v>114</v>
      </c>
      <c r="L13" s="70" t="s">
        <v>115</v>
      </c>
      <c r="M13" s="74" t="s">
        <v>116</v>
      </c>
      <c r="N13" s="77" t="s">
        <v>117</v>
      </c>
      <c r="O13" s="70" t="s">
        <v>118</v>
      </c>
      <c r="P13" s="74" t="s">
        <v>119</v>
      </c>
      <c r="Q13" s="77" t="s">
        <v>120</v>
      </c>
      <c r="R13" s="70" t="s">
        <v>121</v>
      </c>
      <c r="S13" s="70" t="s">
        <v>122</v>
      </c>
      <c r="T13" s="77" t="s">
        <v>123</v>
      </c>
      <c r="U13" s="70" t="s">
        <v>124</v>
      </c>
      <c r="V13" s="74" t="s">
        <v>125</v>
      </c>
      <c r="W13" s="70" t="s">
        <v>126</v>
      </c>
      <c r="X13" s="70" t="s">
        <v>127</v>
      </c>
      <c r="Y13" s="74" t="s">
        <v>128</v>
      </c>
      <c r="Z13" s="70" t="s">
        <v>129</v>
      </c>
      <c r="AA13" s="70" t="s">
        <v>130</v>
      </c>
      <c r="AB13" s="74" t="s">
        <v>131</v>
      </c>
      <c r="AC13" s="70" t="s">
        <v>132</v>
      </c>
      <c r="AD13" s="70" t="s">
        <v>133</v>
      </c>
      <c r="AE13" s="74" t="s">
        <v>134</v>
      </c>
      <c r="AF13" s="70" t="s">
        <v>135</v>
      </c>
      <c r="AG13" s="70" t="s">
        <v>136</v>
      </c>
      <c r="AH13" s="74" t="s">
        <v>137</v>
      </c>
    </row>
    <row r="14" spans="1:223" ht="15.6" customHeight="1" x14ac:dyDescent="0.2">
      <c r="A14" s="101" t="s">
        <v>138</v>
      </c>
      <c r="B14" s="165">
        <v>610</v>
      </c>
      <c r="C14" s="133" t="s">
        <v>172</v>
      </c>
      <c r="D14" s="125">
        <v>61</v>
      </c>
      <c r="E14" s="79">
        <v>534</v>
      </c>
      <c r="F14" s="78" t="s">
        <v>66</v>
      </c>
      <c r="G14" s="159">
        <v>60</v>
      </c>
      <c r="H14" s="79">
        <v>564</v>
      </c>
      <c r="I14" s="78" t="s">
        <v>66</v>
      </c>
      <c r="J14" s="80">
        <v>67</v>
      </c>
      <c r="K14" s="79">
        <v>569</v>
      </c>
      <c r="L14" s="78" t="s">
        <v>66</v>
      </c>
      <c r="M14" s="173">
        <v>64</v>
      </c>
      <c r="N14" s="79">
        <v>601</v>
      </c>
      <c r="O14" s="78" t="s">
        <v>66</v>
      </c>
      <c r="P14" s="80">
        <v>67</v>
      </c>
      <c r="Q14" s="79">
        <v>525</v>
      </c>
      <c r="R14" s="78" t="s">
        <v>66</v>
      </c>
      <c r="S14" s="80">
        <v>68</v>
      </c>
      <c r="T14" s="89">
        <v>567</v>
      </c>
      <c r="U14" s="78" t="s">
        <v>63</v>
      </c>
      <c r="V14" s="80">
        <v>43</v>
      </c>
      <c r="W14" s="89">
        <v>609</v>
      </c>
      <c r="X14" s="78" t="s">
        <v>63</v>
      </c>
      <c r="Y14" s="80">
        <v>47</v>
      </c>
      <c r="Z14" s="89">
        <v>557</v>
      </c>
      <c r="AA14" s="78" t="s">
        <v>63</v>
      </c>
      <c r="AB14" s="80">
        <v>44</v>
      </c>
      <c r="AC14" s="89">
        <v>530</v>
      </c>
      <c r="AD14" s="78" t="s">
        <v>63</v>
      </c>
      <c r="AE14" s="80">
        <v>41</v>
      </c>
      <c r="AF14" s="89">
        <v>521</v>
      </c>
      <c r="AG14" s="78" t="s">
        <v>63</v>
      </c>
      <c r="AH14" s="80">
        <v>40</v>
      </c>
    </row>
    <row r="15" spans="1:223" ht="15.6" customHeight="1" x14ac:dyDescent="0.2">
      <c r="A15" s="101" t="s">
        <v>139</v>
      </c>
      <c r="B15" s="144">
        <v>740</v>
      </c>
      <c r="C15" s="166" t="s">
        <v>173</v>
      </c>
      <c r="D15" s="128">
        <v>51</v>
      </c>
      <c r="E15" s="51">
        <v>749</v>
      </c>
      <c r="F15" s="75" t="s">
        <v>63</v>
      </c>
      <c r="G15" s="64">
        <v>65</v>
      </c>
      <c r="H15" s="51">
        <v>679</v>
      </c>
      <c r="I15" s="75" t="s">
        <v>63</v>
      </c>
      <c r="J15" s="60">
        <v>58</v>
      </c>
      <c r="K15" s="51">
        <v>735</v>
      </c>
      <c r="L15" s="75" t="s">
        <v>63</v>
      </c>
      <c r="M15" s="93">
        <v>55</v>
      </c>
      <c r="N15" s="51">
        <v>711</v>
      </c>
      <c r="O15" s="75" t="s">
        <v>63</v>
      </c>
      <c r="P15" s="60">
        <v>51</v>
      </c>
      <c r="Q15" s="51">
        <v>754</v>
      </c>
      <c r="R15" s="75" t="s">
        <v>63</v>
      </c>
      <c r="S15" s="60">
        <v>51</v>
      </c>
      <c r="T15" s="51">
        <v>763</v>
      </c>
      <c r="U15" s="75" t="s">
        <v>63</v>
      </c>
      <c r="V15" s="60">
        <v>36</v>
      </c>
      <c r="W15" s="51">
        <v>709</v>
      </c>
      <c r="X15" s="75" t="s">
        <v>63</v>
      </c>
      <c r="Y15" s="60">
        <v>33</v>
      </c>
      <c r="Z15" s="51">
        <v>746</v>
      </c>
      <c r="AA15" s="75" t="s">
        <v>63</v>
      </c>
      <c r="AB15" s="60">
        <v>34</v>
      </c>
      <c r="AC15" s="51">
        <v>716</v>
      </c>
      <c r="AD15" s="75" t="s">
        <v>63</v>
      </c>
      <c r="AE15" s="60">
        <v>32</v>
      </c>
      <c r="AF15" s="51">
        <v>742</v>
      </c>
      <c r="AG15" s="75" t="s">
        <v>63</v>
      </c>
      <c r="AH15" s="60">
        <v>31</v>
      </c>
    </row>
    <row r="16" spans="1:223" ht="15.6" customHeight="1" x14ac:dyDescent="0.2">
      <c r="A16" s="101" t="s">
        <v>140</v>
      </c>
      <c r="B16" s="144">
        <v>365</v>
      </c>
      <c r="C16" s="166" t="s">
        <v>173</v>
      </c>
      <c r="D16" s="128">
        <v>33</v>
      </c>
      <c r="E16" s="51">
        <v>350</v>
      </c>
      <c r="F16" s="75" t="s">
        <v>63</v>
      </c>
      <c r="G16" s="64">
        <v>34</v>
      </c>
      <c r="H16" s="57">
        <v>330</v>
      </c>
      <c r="I16" s="75" t="s">
        <v>66</v>
      </c>
      <c r="J16" s="60">
        <v>38</v>
      </c>
      <c r="K16" s="51">
        <v>329</v>
      </c>
      <c r="L16" s="75" t="s">
        <v>63</v>
      </c>
      <c r="M16" s="93">
        <v>32</v>
      </c>
      <c r="N16" s="51">
        <v>336</v>
      </c>
      <c r="O16" s="75" t="s">
        <v>63</v>
      </c>
      <c r="P16" s="60">
        <v>28</v>
      </c>
      <c r="Q16" s="57">
        <v>311</v>
      </c>
      <c r="R16" s="75" t="s">
        <v>66</v>
      </c>
      <c r="S16" s="60">
        <v>32</v>
      </c>
      <c r="T16" s="51">
        <v>311</v>
      </c>
      <c r="U16" s="75" t="s">
        <v>63</v>
      </c>
      <c r="V16" s="60">
        <v>27</v>
      </c>
      <c r="W16" s="51">
        <v>349</v>
      </c>
      <c r="X16" s="75" t="s">
        <v>63</v>
      </c>
      <c r="Y16" s="60">
        <v>25</v>
      </c>
      <c r="Z16" s="51">
        <v>327</v>
      </c>
      <c r="AA16" s="75" t="s">
        <v>63</v>
      </c>
      <c r="AB16" s="60">
        <v>25</v>
      </c>
      <c r="AC16" s="51">
        <v>328</v>
      </c>
      <c r="AD16" s="75" t="s">
        <v>63</v>
      </c>
      <c r="AE16" s="60">
        <v>25</v>
      </c>
      <c r="AF16" s="51">
        <v>290</v>
      </c>
      <c r="AG16" s="75" t="s">
        <v>63</v>
      </c>
      <c r="AH16" s="60">
        <v>23</v>
      </c>
    </row>
    <row r="17" spans="1:34" ht="15.6" customHeight="1" x14ac:dyDescent="0.2">
      <c r="A17" s="101" t="s">
        <v>141</v>
      </c>
      <c r="B17" s="144">
        <v>305</v>
      </c>
      <c r="C17" s="166" t="s">
        <v>173</v>
      </c>
      <c r="D17" s="128">
        <v>28</v>
      </c>
      <c r="E17" s="57">
        <v>287</v>
      </c>
      <c r="F17" s="75" t="s">
        <v>66</v>
      </c>
      <c r="G17" s="64">
        <v>30</v>
      </c>
      <c r="H17" s="57">
        <v>296</v>
      </c>
      <c r="I17" s="75" t="s">
        <v>66</v>
      </c>
      <c r="J17" s="60">
        <v>35</v>
      </c>
      <c r="K17" s="57">
        <v>284</v>
      </c>
      <c r="L17" s="75" t="s">
        <v>66</v>
      </c>
      <c r="M17" s="93">
        <v>30</v>
      </c>
      <c r="N17" s="51">
        <v>268</v>
      </c>
      <c r="O17" s="75" t="s">
        <v>63</v>
      </c>
      <c r="P17" s="60">
        <v>25</v>
      </c>
      <c r="Q17" s="57">
        <v>282</v>
      </c>
      <c r="R17" s="75" t="s">
        <v>66</v>
      </c>
      <c r="S17" s="60">
        <v>28</v>
      </c>
      <c r="T17" s="51">
        <v>269</v>
      </c>
      <c r="U17" s="75" t="s">
        <v>63</v>
      </c>
      <c r="V17" s="60">
        <v>22</v>
      </c>
      <c r="W17" s="51">
        <v>279</v>
      </c>
      <c r="X17" s="75" t="s">
        <v>63</v>
      </c>
      <c r="Y17" s="60">
        <v>21</v>
      </c>
      <c r="Z17" s="51">
        <v>248</v>
      </c>
      <c r="AA17" s="75" t="s">
        <v>63</v>
      </c>
      <c r="AB17" s="60">
        <v>20</v>
      </c>
      <c r="AC17" s="51">
        <v>269</v>
      </c>
      <c r="AD17" s="75" t="s">
        <v>63</v>
      </c>
      <c r="AE17" s="60">
        <v>21</v>
      </c>
      <c r="AF17" s="51">
        <v>279</v>
      </c>
      <c r="AG17" s="75" t="s">
        <v>63</v>
      </c>
      <c r="AH17" s="60">
        <v>20</v>
      </c>
    </row>
    <row r="18" spans="1:34" ht="15.6" customHeight="1" x14ac:dyDescent="0.2">
      <c r="A18" s="101" t="s">
        <v>142</v>
      </c>
      <c r="B18" s="168">
        <v>71</v>
      </c>
      <c r="C18" s="166" t="s">
        <v>174</v>
      </c>
      <c r="D18" s="128">
        <v>16</v>
      </c>
      <c r="E18" s="62">
        <v>96</v>
      </c>
      <c r="F18" s="75" t="s">
        <v>69</v>
      </c>
      <c r="G18" s="64">
        <v>24</v>
      </c>
      <c r="H18" s="62">
        <v>99</v>
      </c>
      <c r="I18" s="75" t="s">
        <v>69</v>
      </c>
      <c r="J18" s="60">
        <v>21</v>
      </c>
      <c r="K18" s="62">
        <v>75</v>
      </c>
      <c r="L18" s="75" t="s">
        <v>69</v>
      </c>
      <c r="M18" s="93">
        <v>16</v>
      </c>
      <c r="N18" s="62">
        <v>72</v>
      </c>
      <c r="O18" s="75" t="s">
        <v>69</v>
      </c>
      <c r="P18" s="60">
        <v>16</v>
      </c>
      <c r="Q18" s="62">
        <v>79</v>
      </c>
      <c r="R18" s="75" t="s">
        <v>69</v>
      </c>
      <c r="S18" s="60">
        <v>17</v>
      </c>
      <c r="T18" s="57">
        <v>90</v>
      </c>
      <c r="U18" s="75" t="s">
        <v>66</v>
      </c>
      <c r="V18" s="60">
        <v>16</v>
      </c>
      <c r="W18" s="57">
        <v>70</v>
      </c>
      <c r="X18" s="75" t="s">
        <v>66</v>
      </c>
      <c r="Y18" s="60">
        <v>12</v>
      </c>
      <c r="Z18" s="57">
        <v>94</v>
      </c>
      <c r="AA18" s="75" t="s">
        <v>66</v>
      </c>
      <c r="AB18" s="60">
        <v>14</v>
      </c>
      <c r="AC18" s="57">
        <v>88</v>
      </c>
      <c r="AD18" s="75" t="s">
        <v>66</v>
      </c>
      <c r="AE18" s="60">
        <v>13</v>
      </c>
      <c r="AF18" s="57">
        <v>78</v>
      </c>
      <c r="AG18" s="75" t="s">
        <v>66</v>
      </c>
      <c r="AH18" s="60">
        <v>12</v>
      </c>
    </row>
    <row r="19" spans="1:34" ht="15.6" customHeight="1" x14ac:dyDescent="0.2">
      <c r="A19" s="101" t="s">
        <v>143</v>
      </c>
      <c r="B19" s="169">
        <v>37</v>
      </c>
      <c r="C19" s="166" t="s">
        <v>175</v>
      </c>
      <c r="D19" s="128">
        <v>15</v>
      </c>
      <c r="E19" s="58">
        <v>34</v>
      </c>
      <c r="F19" s="75" t="s">
        <v>72</v>
      </c>
      <c r="G19" s="64">
        <v>14</v>
      </c>
      <c r="H19" s="62">
        <v>36</v>
      </c>
      <c r="I19" s="75" t="s">
        <v>69</v>
      </c>
      <c r="J19" s="60">
        <v>13</v>
      </c>
      <c r="K19" s="62">
        <v>41</v>
      </c>
      <c r="L19" s="75" t="s">
        <v>69</v>
      </c>
      <c r="M19" s="93">
        <v>15</v>
      </c>
      <c r="N19" s="62">
        <v>49</v>
      </c>
      <c r="O19" s="75" t="s">
        <v>69</v>
      </c>
      <c r="P19" s="60">
        <v>15</v>
      </c>
      <c r="Q19" s="62">
        <v>42</v>
      </c>
      <c r="R19" s="75" t="s">
        <v>69</v>
      </c>
      <c r="S19" s="60">
        <v>14</v>
      </c>
      <c r="T19" s="62">
        <v>30</v>
      </c>
      <c r="U19" s="75" t="s">
        <v>69</v>
      </c>
      <c r="V19" s="60">
        <v>8</v>
      </c>
      <c r="W19" s="62">
        <v>28</v>
      </c>
      <c r="X19" s="75" t="s">
        <v>69</v>
      </c>
      <c r="Y19" s="60">
        <v>7</v>
      </c>
      <c r="Z19" s="62">
        <v>33</v>
      </c>
      <c r="AA19" s="75" t="s">
        <v>69</v>
      </c>
      <c r="AB19" s="60">
        <v>7</v>
      </c>
      <c r="AC19" s="62">
        <v>31</v>
      </c>
      <c r="AD19" s="75" t="s">
        <v>69</v>
      </c>
      <c r="AE19" s="60">
        <v>7</v>
      </c>
      <c r="AF19" s="62">
        <v>36</v>
      </c>
      <c r="AG19" s="75" t="s">
        <v>69</v>
      </c>
      <c r="AH19" s="60">
        <v>8</v>
      </c>
    </row>
    <row r="20" spans="1:34" ht="15.6" customHeight="1" x14ac:dyDescent="0.2">
      <c r="A20" s="103" t="s">
        <v>144</v>
      </c>
      <c r="B20" s="169">
        <v>22</v>
      </c>
      <c r="C20" s="166" t="s">
        <v>175</v>
      </c>
      <c r="D20" s="128">
        <v>10</v>
      </c>
      <c r="E20" s="58">
        <v>28</v>
      </c>
      <c r="F20" s="75" t="s">
        <v>72</v>
      </c>
      <c r="G20" s="64">
        <v>13</v>
      </c>
      <c r="H20" s="58">
        <v>25</v>
      </c>
      <c r="I20" s="75" t="s">
        <v>72</v>
      </c>
      <c r="J20" s="60">
        <v>12</v>
      </c>
      <c r="K20" s="58">
        <v>33</v>
      </c>
      <c r="L20" s="75" t="s">
        <v>72</v>
      </c>
      <c r="M20" s="93">
        <v>14</v>
      </c>
      <c r="N20" s="62">
        <v>33</v>
      </c>
      <c r="O20" s="75" t="s">
        <v>69</v>
      </c>
      <c r="P20" s="60">
        <v>12</v>
      </c>
      <c r="Q20" s="58">
        <v>29</v>
      </c>
      <c r="R20" s="75" t="s">
        <v>72</v>
      </c>
      <c r="S20" s="60">
        <v>12</v>
      </c>
      <c r="T20" s="62">
        <v>17</v>
      </c>
      <c r="U20" s="75" t="s">
        <v>69</v>
      </c>
      <c r="V20" s="60">
        <v>6</v>
      </c>
      <c r="W20" s="62">
        <v>21</v>
      </c>
      <c r="X20" s="75" t="s">
        <v>69</v>
      </c>
      <c r="Y20" s="60">
        <v>7</v>
      </c>
      <c r="Z20" s="62">
        <v>24</v>
      </c>
      <c r="AA20" s="75" t="s">
        <v>69</v>
      </c>
      <c r="AB20" s="60">
        <v>7</v>
      </c>
      <c r="AC20" s="62">
        <v>21</v>
      </c>
      <c r="AD20" s="75" t="s">
        <v>69</v>
      </c>
      <c r="AE20" s="60">
        <v>7</v>
      </c>
      <c r="AF20" s="62">
        <v>28</v>
      </c>
      <c r="AG20" s="75" t="s">
        <v>69</v>
      </c>
      <c r="AH20" s="60">
        <v>7</v>
      </c>
    </row>
    <row r="21" spans="1:34" ht="15.6" customHeight="1" x14ac:dyDescent="0.2">
      <c r="A21" s="104" t="s">
        <v>145</v>
      </c>
      <c r="B21" s="170">
        <v>15</v>
      </c>
      <c r="C21" s="136" t="s">
        <v>175</v>
      </c>
      <c r="D21" s="171">
        <v>10</v>
      </c>
      <c r="E21" s="160">
        <v>6</v>
      </c>
      <c r="F21" s="157" t="s">
        <v>72</v>
      </c>
      <c r="G21" s="158">
        <v>5</v>
      </c>
      <c r="H21" s="160">
        <v>11</v>
      </c>
      <c r="I21" s="157" t="s">
        <v>72</v>
      </c>
      <c r="J21" s="90">
        <v>6</v>
      </c>
      <c r="K21" s="160">
        <v>8</v>
      </c>
      <c r="L21" s="157" t="s">
        <v>72</v>
      </c>
      <c r="M21" s="172">
        <v>7</v>
      </c>
      <c r="N21" s="160">
        <v>17</v>
      </c>
      <c r="O21" s="157" t="s">
        <v>72</v>
      </c>
      <c r="P21" s="90">
        <v>10</v>
      </c>
      <c r="Q21" s="160">
        <v>13</v>
      </c>
      <c r="R21" s="157" t="s">
        <v>72</v>
      </c>
      <c r="S21" s="90">
        <v>8</v>
      </c>
      <c r="T21" s="160">
        <v>12</v>
      </c>
      <c r="U21" s="157" t="s">
        <v>72</v>
      </c>
      <c r="V21" s="90">
        <v>6</v>
      </c>
      <c r="W21" s="160">
        <v>7</v>
      </c>
      <c r="X21" s="157" t="s">
        <v>72</v>
      </c>
      <c r="Y21" s="90">
        <v>4</v>
      </c>
      <c r="Z21" s="160">
        <v>9</v>
      </c>
      <c r="AA21" s="157" t="s">
        <v>72</v>
      </c>
      <c r="AB21" s="90">
        <v>4</v>
      </c>
      <c r="AC21" s="160">
        <v>10</v>
      </c>
      <c r="AD21" s="157" t="s">
        <v>72</v>
      </c>
      <c r="AE21" s="90">
        <v>5</v>
      </c>
      <c r="AF21" s="160">
        <v>8</v>
      </c>
      <c r="AG21" s="157" t="s">
        <v>72</v>
      </c>
      <c r="AH21" s="90">
        <v>4</v>
      </c>
    </row>
    <row r="22" spans="1:34" ht="15.6" customHeight="1" x14ac:dyDescent="0.2">
      <c r="A22" s="76" t="s">
        <v>147</v>
      </c>
      <c r="B22" s="162">
        <v>2129</v>
      </c>
      <c r="C22" s="163" t="s">
        <v>173</v>
      </c>
      <c r="D22" s="164">
        <v>61</v>
      </c>
      <c r="E22" s="48">
        <v>2049</v>
      </c>
      <c r="F22" s="157" t="s">
        <v>63</v>
      </c>
      <c r="G22" s="96">
        <v>67</v>
      </c>
      <c r="H22" s="49">
        <v>2004</v>
      </c>
      <c r="I22" s="157" t="s">
        <v>63</v>
      </c>
      <c r="J22" s="90">
        <v>66</v>
      </c>
      <c r="K22" s="48">
        <v>2033</v>
      </c>
      <c r="L22" s="157" t="s">
        <v>63</v>
      </c>
      <c r="M22" s="172">
        <v>62</v>
      </c>
      <c r="N22" s="48">
        <v>2038</v>
      </c>
      <c r="O22" s="157" t="s">
        <v>63</v>
      </c>
      <c r="P22" s="90">
        <v>62</v>
      </c>
      <c r="Q22" s="48">
        <v>1994</v>
      </c>
      <c r="R22" s="157" t="s">
        <v>63</v>
      </c>
      <c r="S22" s="48">
        <v>60</v>
      </c>
      <c r="T22" s="49">
        <v>2031</v>
      </c>
      <c r="U22" s="157" t="s">
        <v>63</v>
      </c>
      <c r="V22" s="90">
        <v>30</v>
      </c>
      <c r="W22" s="48">
        <v>2045</v>
      </c>
      <c r="X22" s="157" t="s">
        <v>63</v>
      </c>
      <c r="Y22" s="90">
        <v>28</v>
      </c>
      <c r="Z22" s="48">
        <v>2005</v>
      </c>
      <c r="AA22" s="157" t="s">
        <v>63</v>
      </c>
      <c r="AB22" s="90">
        <v>28</v>
      </c>
      <c r="AC22" s="48">
        <v>1961</v>
      </c>
      <c r="AD22" s="157" t="s">
        <v>63</v>
      </c>
      <c r="AE22" s="90">
        <v>26</v>
      </c>
      <c r="AF22" s="48">
        <v>1946</v>
      </c>
      <c r="AG22" s="157" t="s">
        <v>63</v>
      </c>
      <c r="AH22" s="90">
        <v>25</v>
      </c>
    </row>
    <row r="23" spans="1:34" ht="15.6" customHeight="1" x14ac:dyDescent="0.2">
      <c r="A23" s="84" t="s">
        <v>148</v>
      </c>
      <c r="B23" s="143">
        <v>2.35</v>
      </c>
      <c r="C23" s="136" t="s">
        <v>173</v>
      </c>
      <c r="D23" s="123">
        <v>7.0000000000000007E-2</v>
      </c>
      <c r="E23" s="137">
        <v>2.4</v>
      </c>
      <c r="F23" s="47" t="s">
        <v>63</v>
      </c>
      <c r="G23" s="137">
        <v>0.08</v>
      </c>
      <c r="H23" s="138">
        <v>2.41</v>
      </c>
      <c r="I23" s="47" t="s">
        <v>63</v>
      </c>
      <c r="J23" s="139">
        <v>0.08</v>
      </c>
      <c r="K23" s="137">
        <v>2.36</v>
      </c>
      <c r="L23" s="47" t="s">
        <v>63</v>
      </c>
      <c r="M23" s="139">
        <v>7.0000000000000007E-2</v>
      </c>
      <c r="N23" s="137">
        <v>2.35</v>
      </c>
      <c r="O23" s="47" t="s">
        <v>63</v>
      </c>
      <c r="P23" s="139">
        <v>7.0000000000000007E-2</v>
      </c>
      <c r="Q23" s="137">
        <v>2.39</v>
      </c>
      <c r="R23" s="47" t="s">
        <v>63</v>
      </c>
      <c r="S23" s="137">
        <v>7.0000000000000007E-2</v>
      </c>
      <c r="T23" s="138">
        <v>2.34</v>
      </c>
      <c r="U23" s="47" t="s">
        <v>63</v>
      </c>
      <c r="V23" s="139">
        <v>0.03</v>
      </c>
      <c r="W23" s="137">
        <v>2.31</v>
      </c>
      <c r="X23" s="47" t="s">
        <v>63</v>
      </c>
      <c r="Y23" s="139">
        <v>0.03</v>
      </c>
      <c r="Z23" s="137">
        <v>2.35</v>
      </c>
      <c r="AA23" s="47" t="s">
        <v>63</v>
      </c>
      <c r="AB23" s="139">
        <v>0.03</v>
      </c>
      <c r="AC23" s="137">
        <v>2.38</v>
      </c>
      <c r="AD23" s="47" t="s">
        <v>63</v>
      </c>
      <c r="AE23" s="139">
        <v>0.03</v>
      </c>
      <c r="AF23" s="137">
        <v>2.37</v>
      </c>
      <c r="AG23" s="47" t="s">
        <v>63</v>
      </c>
      <c r="AH23" s="139">
        <v>0.03</v>
      </c>
    </row>
    <row r="24" spans="1:34" ht="15.6" customHeight="1" x14ac:dyDescent="0.2"/>
    <row r="25" spans="1:34" ht="15.6" customHeight="1" x14ac:dyDescent="0.2"/>
  </sheetData>
  <hyperlinks>
    <hyperlink ref="A10" r:id="rId1" xr:uid="{00000000-0004-0000-0700-000000000000}"/>
    <hyperlink ref="A11" r:id="rId2" xr:uid="{00000000-0004-0000-0700-000001000000}"/>
    <hyperlink ref="A12" r:id="rId3" xr:uid="{00000000-0004-0000-0700-000002000000}"/>
  </hyperlinks>
  <pageMargins left="0.7" right="0.7" top="0.75" bottom="0.75" header="0.3" footer="0.3"/>
  <pageSetup paperSize="9" orientation="portrait"/>
  <tableParts count="1">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HN25"/>
  <sheetViews>
    <sheetView showGridLines="0" showZeros="0" workbookViewId="0"/>
  </sheetViews>
  <sheetFormatPr defaultColWidth="10.88671875" defaultRowHeight="15" x14ac:dyDescent="0.2"/>
  <cols>
    <col min="1" max="1" width="55.5546875" customWidth="1"/>
    <col min="2" max="2" width="13.109375" bestFit="1" customWidth="1"/>
    <col min="3" max="3" width="8.21875" bestFit="1" customWidth="1"/>
    <col min="4" max="4" width="9.44140625" bestFit="1" customWidth="1"/>
    <col min="5" max="5" width="13.109375" bestFit="1" customWidth="1"/>
    <col min="6" max="6" width="8.21875" bestFit="1" customWidth="1"/>
    <col min="7" max="7" width="9.44140625" bestFit="1" customWidth="1"/>
    <col min="8" max="8" width="13.109375" bestFit="1" customWidth="1"/>
    <col min="9" max="9" width="8.21875" bestFit="1" customWidth="1"/>
    <col min="10" max="10" width="9.44140625" bestFit="1" customWidth="1"/>
    <col min="11" max="11" width="13.109375" bestFit="1" customWidth="1"/>
    <col min="12" max="12" width="8.21875" bestFit="1" customWidth="1"/>
    <col min="13" max="13" width="9.44140625" bestFit="1" customWidth="1"/>
    <col min="14" max="14" width="13.109375" bestFit="1" customWidth="1"/>
    <col min="15" max="15" width="8.21875" bestFit="1" customWidth="1"/>
    <col min="16" max="16" width="9.44140625" bestFit="1" customWidth="1"/>
    <col min="17" max="17" width="13.109375" bestFit="1" customWidth="1"/>
    <col min="18" max="18" width="8.21875" bestFit="1" customWidth="1"/>
    <col min="19" max="19" width="9.44140625" bestFit="1" customWidth="1"/>
    <col min="20" max="20" width="13.109375" bestFit="1" customWidth="1"/>
    <col min="21" max="21" width="8.21875" bestFit="1" customWidth="1"/>
    <col min="22" max="22" width="9.44140625" bestFit="1" customWidth="1"/>
    <col min="23" max="23" width="13.109375" bestFit="1" customWidth="1"/>
    <col min="24" max="24" width="8.21875" bestFit="1" customWidth="1"/>
    <col min="25" max="25" width="9.44140625" bestFit="1" customWidth="1"/>
    <col min="26" max="26" width="13.109375" bestFit="1" customWidth="1"/>
    <col min="27" max="27" width="8.21875" bestFit="1" customWidth="1"/>
    <col min="28" max="28" width="9.44140625" bestFit="1" customWidth="1"/>
    <col min="29" max="29" width="13.109375" bestFit="1" customWidth="1"/>
    <col min="30" max="30" width="8.21875" bestFit="1" customWidth="1"/>
    <col min="31" max="31" width="9.44140625" bestFit="1" customWidth="1"/>
    <col min="32" max="32" width="13.109375" bestFit="1" customWidth="1"/>
    <col min="33" max="33" width="8.21875" bestFit="1" customWidth="1"/>
    <col min="34" max="34" width="9.44140625" bestFit="1" customWidth="1"/>
  </cols>
  <sheetData>
    <row r="1" spans="1:222" ht="19.899999999999999" customHeight="1" x14ac:dyDescent="0.3">
      <c r="A1" s="193" t="s">
        <v>0</v>
      </c>
    </row>
    <row r="2" spans="1:222" ht="31.15" customHeight="1" x14ac:dyDescent="0.2">
      <c r="A2" s="194" t="s">
        <v>155</v>
      </c>
    </row>
    <row r="3" spans="1:222" ht="15.4" customHeight="1" x14ac:dyDescent="0.2">
      <c r="A3" s="101" t="s">
        <v>156</v>
      </c>
    </row>
    <row r="4" spans="1:222" ht="15.4" customHeight="1" x14ac:dyDescent="0.2">
      <c r="A4" s="101" t="s">
        <v>98</v>
      </c>
    </row>
    <row r="5" spans="1:222" ht="15.6" customHeight="1" x14ac:dyDescent="0.2">
      <c r="A5" s="101" t="s">
        <v>99</v>
      </c>
    </row>
    <row r="6" spans="1:222" ht="15.6" customHeight="1" x14ac:dyDescent="0.2">
      <c r="A6" s="101" t="s">
        <v>179</v>
      </c>
    </row>
    <row r="7" spans="1:222" ht="15.6" customHeight="1" x14ac:dyDescent="0.2">
      <c r="A7" s="101" t="s">
        <v>180</v>
      </c>
    </row>
    <row r="8" spans="1:222" ht="15.4" customHeight="1" x14ac:dyDescent="0.25">
      <c r="A8" s="101" t="s">
        <v>181</v>
      </c>
      <c r="B8" s="68"/>
      <c r="C8" s="68"/>
      <c r="D8" s="68"/>
      <c r="E8" s="68"/>
      <c r="F8" s="68"/>
      <c r="G8" s="68"/>
      <c r="H8" s="68"/>
      <c r="I8" s="68"/>
      <c r="J8" s="68"/>
      <c r="K8" s="68"/>
      <c r="L8" s="68"/>
      <c r="M8" s="68"/>
      <c r="N8" s="68"/>
      <c r="O8" s="68"/>
      <c r="P8" s="68"/>
      <c r="Q8" s="68"/>
      <c r="R8" s="68"/>
      <c r="S8" s="68"/>
      <c r="T8" s="68"/>
      <c r="U8" s="68"/>
      <c r="V8" s="69"/>
      <c r="W8" s="69"/>
      <c r="X8" s="69"/>
      <c r="Y8" s="69"/>
      <c r="Z8" s="69"/>
      <c r="AA8" s="69"/>
      <c r="AB8" s="69"/>
      <c r="AC8" s="69"/>
      <c r="AD8" s="69"/>
      <c r="AE8" s="69"/>
      <c r="AF8" s="69"/>
      <c r="AG8" s="69"/>
      <c r="AH8" s="69"/>
      <c r="AI8" s="69"/>
      <c r="AJ8" s="69"/>
      <c r="AK8" s="69"/>
      <c r="AL8" s="69"/>
      <c r="AM8" s="69"/>
      <c r="AN8" s="69"/>
      <c r="AO8" s="69"/>
      <c r="AP8" s="69"/>
      <c r="AQ8" s="69"/>
      <c r="AR8" s="69"/>
      <c r="AS8" s="69"/>
      <c r="AT8" s="69"/>
      <c r="AU8" s="69"/>
      <c r="AV8" s="69"/>
      <c r="AW8" s="69"/>
      <c r="AX8" s="69"/>
      <c r="AY8" s="69"/>
      <c r="AZ8" s="69"/>
      <c r="BA8" s="69"/>
      <c r="BB8" s="69"/>
      <c r="BC8" s="69"/>
      <c r="BD8" s="69"/>
      <c r="BE8" s="69"/>
      <c r="BF8" s="69"/>
      <c r="BG8" s="69"/>
      <c r="BH8" s="69"/>
      <c r="BI8" s="69"/>
      <c r="BJ8" s="69"/>
      <c r="BK8" s="69"/>
      <c r="BL8" s="69"/>
      <c r="BM8" s="69"/>
      <c r="BN8" s="69"/>
      <c r="BO8" s="69"/>
      <c r="BP8" s="69"/>
      <c r="BQ8" s="69"/>
      <c r="BR8" s="69"/>
      <c r="BS8" s="69"/>
      <c r="BT8" s="69"/>
      <c r="BU8" s="69"/>
      <c r="BV8" s="69"/>
      <c r="BW8" s="69"/>
      <c r="BX8" s="69"/>
      <c r="BY8" s="69"/>
      <c r="BZ8" s="69"/>
      <c r="CA8" s="69"/>
      <c r="CB8" s="69"/>
      <c r="CC8" s="69"/>
      <c r="CD8" s="69"/>
      <c r="CE8" s="69"/>
      <c r="CF8" s="69"/>
      <c r="CG8" s="69"/>
      <c r="CH8" s="69"/>
      <c r="CI8" s="69"/>
      <c r="CJ8" s="69"/>
      <c r="CK8" s="69"/>
      <c r="CL8" s="69"/>
      <c r="CM8" s="69"/>
      <c r="CN8" s="69"/>
      <c r="CO8" s="69"/>
      <c r="CP8" s="69"/>
      <c r="CQ8" s="69"/>
      <c r="CR8" s="69"/>
      <c r="CS8" s="69"/>
      <c r="CT8" s="69"/>
      <c r="CU8" s="69"/>
      <c r="CV8" s="69"/>
      <c r="CW8" s="69"/>
      <c r="CX8" s="69"/>
      <c r="CY8" s="69"/>
      <c r="CZ8" s="69"/>
      <c r="DA8" s="69"/>
      <c r="DB8" s="69"/>
      <c r="DC8" s="69"/>
      <c r="DD8" s="69"/>
      <c r="DE8" s="69"/>
      <c r="DF8" s="69"/>
      <c r="DG8" s="69"/>
      <c r="DH8" s="69"/>
      <c r="DI8" s="69"/>
      <c r="DJ8" s="69"/>
      <c r="DK8" s="69"/>
      <c r="DL8" s="69"/>
      <c r="DM8" s="69"/>
      <c r="DN8" s="69"/>
      <c r="DO8" s="69"/>
      <c r="DP8" s="69"/>
      <c r="DQ8" s="69"/>
      <c r="DR8" s="69"/>
      <c r="DS8" s="69"/>
      <c r="DT8" s="69"/>
      <c r="DU8" s="69"/>
      <c r="DV8" s="69"/>
      <c r="DW8" s="69"/>
      <c r="DX8" s="69"/>
      <c r="DY8" s="69"/>
      <c r="DZ8" s="69"/>
      <c r="EA8" s="69"/>
      <c r="EB8" s="69"/>
      <c r="EC8" s="69"/>
      <c r="ED8" s="69"/>
      <c r="EE8" s="69"/>
      <c r="EF8" s="69"/>
      <c r="EG8" s="69"/>
      <c r="EH8" s="69"/>
      <c r="EI8" s="69"/>
      <c r="EJ8" s="69"/>
      <c r="EK8" s="69"/>
      <c r="EL8" s="69"/>
      <c r="EM8" s="69"/>
      <c r="EN8" s="69"/>
      <c r="EO8" s="69"/>
      <c r="EP8" s="69"/>
      <c r="EQ8" s="69"/>
      <c r="ER8" s="69"/>
      <c r="ES8" s="69"/>
      <c r="ET8" s="69"/>
      <c r="EU8" s="69"/>
      <c r="EV8" s="69"/>
      <c r="EW8" s="69"/>
      <c r="EX8" s="69"/>
      <c r="EY8" s="69"/>
      <c r="EZ8" s="69"/>
      <c r="FA8" s="69"/>
      <c r="FB8" s="69"/>
      <c r="FC8" s="69"/>
      <c r="FD8" s="69"/>
      <c r="FE8" s="69"/>
      <c r="FF8" s="69"/>
      <c r="FG8" s="69"/>
      <c r="FH8" s="69"/>
      <c r="FI8" s="69"/>
      <c r="FJ8" s="69"/>
      <c r="FK8" s="69"/>
      <c r="FL8" s="69"/>
      <c r="FM8" s="69"/>
      <c r="FN8" s="69"/>
      <c r="FO8" s="69"/>
      <c r="FP8" s="69"/>
      <c r="FQ8" s="69"/>
      <c r="FR8" s="69"/>
      <c r="FS8" s="69"/>
      <c r="FT8" s="69"/>
      <c r="FU8" s="69"/>
      <c r="FV8" s="69"/>
      <c r="FW8" s="69"/>
      <c r="FX8" s="69"/>
      <c r="FY8" s="69"/>
      <c r="FZ8" s="69"/>
      <c r="GA8" s="69"/>
      <c r="GB8" s="69"/>
      <c r="GC8" s="69"/>
      <c r="GD8" s="69"/>
      <c r="GE8" s="69"/>
      <c r="GF8" s="69"/>
      <c r="GG8" s="69"/>
      <c r="GH8" s="69"/>
      <c r="GI8" s="69"/>
      <c r="GJ8" s="69"/>
      <c r="GK8" s="69"/>
      <c r="GL8" s="69"/>
      <c r="GM8" s="69"/>
      <c r="GN8" s="69"/>
      <c r="GO8" s="69"/>
      <c r="GP8" s="69"/>
      <c r="GQ8" s="69"/>
      <c r="GR8" s="69"/>
      <c r="GS8" s="69"/>
      <c r="GT8" s="69"/>
      <c r="GU8" s="69"/>
      <c r="GV8" s="69"/>
      <c r="GW8" s="69"/>
      <c r="GX8" s="69"/>
      <c r="GY8" s="69"/>
      <c r="GZ8" s="69"/>
      <c r="HA8" s="69"/>
      <c r="HB8" s="69"/>
      <c r="HC8" s="69"/>
      <c r="HD8" s="69"/>
      <c r="HE8" s="69"/>
      <c r="HF8" s="69"/>
      <c r="HG8" s="69"/>
      <c r="HH8" s="69"/>
      <c r="HI8" s="69"/>
      <c r="HJ8" s="69"/>
      <c r="HK8" s="69"/>
      <c r="HL8" s="69"/>
      <c r="HM8" s="69"/>
      <c r="HN8" s="69"/>
    </row>
    <row r="9" spans="1:222" ht="31.15" customHeight="1" x14ac:dyDescent="0.2">
      <c r="A9" s="65" t="s">
        <v>100</v>
      </c>
    </row>
    <row r="10" spans="1:222" ht="15" customHeight="1" x14ac:dyDescent="0.2">
      <c r="A10" s="113" t="s">
        <v>101</v>
      </c>
    </row>
    <row r="11" spans="1:222" ht="15.4" customHeight="1" x14ac:dyDescent="0.2">
      <c r="A11" s="113" t="s">
        <v>102</v>
      </c>
    </row>
    <row r="12" spans="1:222" ht="31.15" customHeight="1" x14ac:dyDescent="0.2">
      <c r="A12" s="114" t="s">
        <v>103</v>
      </c>
    </row>
    <row r="13" spans="1:222" ht="31.15" customHeight="1" x14ac:dyDescent="0.2">
      <c r="A13" s="71" t="s">
        <v>104</v>
      </c>
      <c r="B13" s="77" t="s">
        <v>105</v>
      </c>
      <c r="C13" s="70" t="s">
        <v>106</v>
      </c>
      <c r="D13" s="74" t="s">
        <v>107</v>
      </c>
      <c r="E13" s="77" t="s">
        <v>108</v>
      </c>
      <c r="F13" s="70" t="s">
        <v>109</v>
      </c>
      <c r="G13" s="74" t="s">
        <v>110</v>
      </c>
      <c r="H13" s="77" t="s">
        <v>111</v>
      </c>
      <c r="I13" s="70" t="s">
        <v>112</v>
      </c>
      <c r="J13" s="74" t="s">
        <v>113</v>
      </c>
      <c r="K13" s="70" t="s">
        <v>114</v>
      </c>
      <c r="L13" s="70" t="s">
        <v>115</v>
      </c>
      <c r="M13" s="74" t="s">
        <v>116</v>
      </c>
      <c r="N13" s="77" t="s">
        <v>117</v>
      </c>
      <c r="O13" s="70" t="s">
        <v>118</v>
      </c>
      <c r="P13" s="74" t="s">
        <v>119</v>
      </c>
      <c r="Q13" s="77" t="s">
        <v>120</v>
      </c>
      <c r="R13" s="70" t="s">
        <v>121</v>
      </c>
      <c r="S13" s="74" t="s">
        <v>122</v>
      </c>
      <c r="T13" s="77" t="s">
        <v>123</v>
      </c>
      <c r="U13" s="70" t="s">
        <v>124</v>
      </c>
      <c r="V13" s="74" t="s">
        <v>125</v>
      </c>
      <c r="W13" s="70" t="s">
        <v>126</v>
      </c>
      <c r="X13" s="70" t="s">
        <v>127</v>
      </c>
      <c r="Y13" s="74" t="s">
        <v>128</v>
      </c>
      <c r="Z13" s="70" t="s">
        <v>129</v>
      </c>
      <c r="AA13" s="70" t="s">
        <v>130</v>
      </c>
      <c r="AB13" s="74" t="s">
        <v>131</v>
      </c>
      <c r="AC13" s="70" t="s">
        <v>132</v>
      </c>
      <c r="AD13" s="70" t="s">
        <v>133</v>
      </c>
      <c r="AE13" s="74" t="s">
        <v>134</v>
      </c>
      <c r="AF13" s="70" t="s">
        <v>135</v>
      </c>
      <c r="AG13" s="70" t="s">
        <v>136</v>
      </c>
      <c r="AH13" s="74" t="s">
        <v>137</v>
      </c>
    </row>
    <row r="14" spans="1:222" ht="15.6" customHeight="1" x14ac:dyDescent="0.2">
      <c r="A14" s="72" t="s">
        <v>138</v>
      </c>
      <c r="B14" s="124">
        <v>725</v>
      </c>
      <c r="C14" s="134" t="s">
        <v>172</v>
      </c>
      <c r="D14" s="128">
        <v>75</v>
      </c>
      <c r="E14" s="57">
        <v>682</v>
      </c>
      <c r="F14" s="75" t="s">
        <v>66</v>
      </c>
      <c r="G14" s="60">
        <v>74</v>
      </c>
      <c r="H14" s="57">
        <v>732</v>
      </c>
      <c r="I14" s="75" t="s">
        <v>66</v>
      </c>
      <c r="J14" s="64">
        <v>85</v>
      </c>
      <c r="K14" s="94">
        <v>698</v>
      </c>
      <c r="L14" s="75" t="s">
        <v>66</v>
      </c>
      <c r="M14" s="60">
        <v>77</v>
      </c>
      <c r="N14" s="57">
        <v>680</v>
      </c>
      <c r="O14" s="75" t="s">
        <v>66</v>
      </c>
      <c r="P14" s="60">
        <v>73</v>
      </c>
      <c r="Q14" s="57">
        <v>730</v>
      </c>
      <c r="R14" s="75" t="s">
        <v>66</v>
      </c>
      <c r="S14" s="60">
        <v>113</v>
      </c>
      <c r="T14" s="51">
        <v>720</v>
      </c>
      <c r="U14" s="75" t="s">
        <v>63</v>
      </c>
      <c r="V14" s="60">
        <v>50</v>
      </c>
      <c r="W14" s="50">
        <v>635</v>
      </c>
      <c r="X14" s="75" t="s">
        <v>63</v>
      </c>
      <c r="Y14" s="60">
        <v>49</v>
      </c>
      <c r="Z14" s="50">
        <v>628</v>
      </c>
      <c r="AA14" s="75" t="s">
        <v>63</v>
      </c>
      <c r="AB14" s="60">
        <v>47</v>
      </c>
      <c r="AC14" s="50">
        <v>641</v>
      </c>
      <c r="AD14" s="75" t="s">
        <v>63</v>
      </c>
      <c r="AE14" s="60">
        <v>46</v>
      </c>
      <c r="AF14" s="50">
        <v>680</v>
      </c>
      <c r="AG14" s="75" t="s">
        <v>63</v>
      </c>
      <c r="AH14" s="60">
        <v>50</v>
      </c>
    </row>
    <row r="15" spans="1:222" ht="15.6" customHeight="1" x14ac:dyDescent="0.2">
      <c r="A15" s="72" t="s">
        <v>139</v>
      </c>
      <c r="B15" s="144">
        <v>833</v>
      </c>
      <c r="C15" s="134" t="s">
        <v>173</v>
      </c>
      <c r="D15" s="128">
        <v>60</v>
      </c>
      <c r="E15" s="51">
        <v>805</v>
      </c>
      <c r="F15" s="75" t="s">
        <v>63</v>
      </c>
      <c r="G15" s="60">
        <v>73</v>
      </c>
      <c r="H15" s="51">
        <v>880</v>
      </c>
      <c r="I15" s="75" t="s">
        <v>63</v>
      </c>
      <c r="J15" s="64">
        <v>77</v>
      </c>
      <c r="K15" s="92">
        <v>784</v>
      </c>
      <c r="L15" s="75" t="s">
        <v>63</v>
      </c>
      <c r="M15" s="60">
        <v>64</v>
      </c>
      <c r="N15" s="51">
        <v>872</v>
      </c>
      <c r="O15" s="75" t="s">
        <v>63</v>
      </c>
      <c r="P15" s="60">
        <v>55</v>
      </c>
      <c r="Q15" s="51">
        <v>817</v>
      </c>
      <c r="R15" s="75" t="s">
        <v>63</v>
      </c>
      <c r="S15" s="60">
        <v>63</v>
      </c>
      <c r="T15" s="51">
        <v>819</v>
      </c>
      <c r="U15" s="75" t="s">
        <v>63</v>
      </c>
      <c r="V15" s="60">
        <v>39</v>
      </c>
      <c r="W15" s="50">
        <v>820</v>
      </c>
      <c r="X15" s="75" t="s">
        <v>63</v>
      </c>
      <c r="Y15" s="60">
        <v>38</v>
      </c>
      <c r="Z15" s="50">
        <v>786</v>
      </c>
      <c r="AA15" s="75" t="s">
        <v>63</v>
      </c>
      <c r="AB15" s="60">
        <v>36</v>
      </c>
      <c r="AC15" s="50">
        <v>839</v>
      </c>
      <c r="AD15" s="75" t="s">
        <v>63</v>
      </c>
      <c r="AE15" s="60">
        <v>38</v>
      </c>
      <c r="AF15" s="50">
        <v>844</v>
      </c>
      <c r="AG15" s="75" t="s">
        <v>63</v>
      </c>
      <c r="AH15" s="60">
        <v>38</v>
      </c>
    </row>
    <row r="16" spans="1:222" ht="15.6" customHeight="1" x14ac:dyDescent="0.2">
      <c r="A16" s="72" t="s">
        <v>140</v>
      </c>
      <c r="B16" s="144">
        <v>400</v>
      </c>
      <c r="C16" s="134" t="s">
        <v>173</v>
      </c>
      <c r="D16" s="128">
        <v>37</v>
      </c>
      <c r="E16" s="57">
        <v>369</v>
      </c>
      <c r="F16" s="75" t="s">
        <v>66</v>
      </c>
      <c r="G16" s="60">
        <v>44</v>
      </c>
      <c r="H16" s="57">
        <v>367</v>
      </c>
      <c r="I16" s="75" t="s">
        <v>66</v>
      </c>
      <c r="J16" s="64">
        <v>46</v>
      </c>
      <c r="K16" s="94">
        <v>371</v>
      </c>
      <c r="L16" s="75" t="s">
        <v>66</v>
      </c>
      <c r="M16" s="60">
        <v>38</v>
      </c>
      <c r="N16" s="51">
        <v>413</v>
      </c>
      <c r="O16" s="75" t="s">
        <v>63</v>
      </c>
      <c r="P16" s="60">
        <v>40</v>
      </c>
      <c r="Q16" s="51">
        <v>396</v>
      </c>
      <c r="R16" s="75" t="s">
        <v>63</v>
      </c>
      <c r="S16" s="60">
        <v>36</v>
      </c>
      <c r="T16" s="51">
        <v>365</v>
      </c>
      <c r="U16" s="75" t="s">
        <v>63</v>
      </c>
      <c r="V16" s="60">
        <v>29</v>
      </c>
      <c r="W16" s="50">
        <v>372</v>
      </c>
      <c r="X16" s="75" t="s">
        <v>63</v>
      </c>
      <c r="Y16" s="60">
        <v>29</v>
      </c>
      <c r="Z16" s="50">
        <v>387</v>
      </c>
      <c r="AA16" s="75" t="s">
        <v>63</v>
      </c>
      <c r="AB16" s="60">
        <v>29</v>
      </c>
      <c r="AC16" s="50">
        <v>377</v>
      </c>
      <c r="AD16" s="75" t="s">
        <v>63</v>
      </c>
      <c r="AE16" s="60">
        <v>27</v>
      </c>
      <c r="AF16" s="50">
        <v>373</v>
      </c>
      <c r="AG16" s="75" t="s">
        <v>63</v>
      </c>
      <c r="AH16" s="60">
        <v>28</v>
      </c>
    </row>
    <row r="17" spans="1:34" ht="15.6" customHeight="1" x14ac:dyDescent="0.2">
      <c r="A17" s="72" t="s">
        <v>141</v>
      </c>
      <c r="B17" s="144">
        <v>358</v>
      </c>
      <c r="C17" s="134" t="s">
        <v>173</v>
      </c>
      <c r="D17" s="128">
        <v>30</v>
      </c>
      <c r="E17" s="57">
        <v>377</v>
      </c>
      <c r="F17" s="75" t="s">
        <v>66</v>
      </c>
      <c r="G17" s="60">
        <v>39</v>
      </c>
      <c r="H17" s="57">
        <v>344</v>
      </c>
      <c r="I17" s="75" t="s">
        <v>66</v>
      </c>
      <c r="J17" s="64">
        <v>44</v>
      </c>
      <c r="K17" s="94">
        <v>325</v>
      </c>
      <c r="L17" s="75" t="s">
        <v>66</v>
      </c>
      <c r="M17" s="60">
        <v>35</v>
      </c>
      <c r="N17" s="51">
        <v>353</v>
      </c>
      <c r="O17" s="75" t="s">
        <v>63</v>
      </c>
      <c r="P17" s="60">
        <v>33</v>
      </c>
      <c r="Q17" s="57">
        <v>348</v>
      </c>
      <c r="R17" s="75" t="s">
        <v>66</v>
      </c>
      <c r="S17" s="60">
        <v>34</v>
      </c>
      <c r="T17" s="51">
        <v>329</v>
      </c>
      <c r="U17" s="75" t="s">
        <v>63</v>
      </c>
      <c r="V17" s="60">
        <v>25</v>
      </c>
      <c r="W17" s="50">
        <v>335</v>
      </c>
      <c r="X17" s="75" t="s">
        <v>63</v>
      </c>
      <c r="Y17" s="60">
        <v>25</v>
      </c>
      <c r="Z17" s="50">
        <v>334</v>
      </c>
      <c r="AA17" s="75" t="s">
        <v>63</v>
      </c>
      <c r="AB17" s="60">
        <v>25</v>
      </c>
      <c r="AC17" s="50">
        <v>328</v>
      </c>
      <c r="AD17" s="75" t="s">
        <v>63</v>
      </c>
      <c r="AE17" s="60">
        <v>23</v>
      </c>
      <c r="AF17" s="50">
        <v>324</v>
      </c>
      <c r="AG17" s="75" t="s">
        <v>63</v>
      </c>
      <c r="AH17" s="60">
        <v>24</v>
      </c>
    </row>
    <row r="18" spans="1:34" ht="15.6" customHeight="1" x14ac:dyDescent="0.2">
      <c r="A18" s="72" t="s">
        <v>142</v>
      </c>
      <c r="B18" s="124">
        <v>129</v>
      </c>
      <c r="C18" s="134" t="s">
        <v>172</v>
      </c>
      <c r="D18" s="128">
        <v>23</v>
      </c>
      <c r="E18" s="62">
        <v>153</v>
      </c>
      <c r="F18" s="75" t="s">
        <v>69</v>
      </c>
      <c r="G18" s="60">
        <v>31</v>
      </c>
      <c r="H18" s="62">
        <v>114</v>
      </c>
      <c r="I18" s="75" t="s">
        <v>69</v>
      </c>
      <c r="J18" s="64">
        <v>29</v>
      </c>
      <c r="K18" s="95">
        <v>150</v>
      </c>
      <c r="L18" s="75" t="s">
        <v>69</v>
      </c>
      <c r="M18" s="50">
        <v>32</v>
      </c>
      <c r="N18" s="62">
        <v>99</v>
      </c>
      <c r="O18" s="75" t="s">
        <v>69</v>
      </c>
      <c r="P18" s="60">
        <v>20</v>
      </c>
      <c r="Q18" s="62">
        <v>100</v>
      </c>
      <c r="R18" s="75" t="s">
        <v>69</v>
      </c>
      <c r="S18" s="60">
        <v>20</v>
      </c>
      <c r="T18" s="57">
        <v>125</v>
      </c>
      <c r="U18" s="75" t="s">
        <v>66</v>
      </c>
      <c r="V18" s="60">
        <v>17</v>
      </c>
      <c r="W18" s="53">
        <v>131</v>
      </c>
      <c r="X18" s="75" t="s">
        <v>66</v>
      </c>
      <c r="Y18" s="50">
        <v>17</v>
      </c>
      <c r="Z18" s="57">
        <v>125</v>
      </c>
      <c r="AA18" s="75" t="s">
        <v>66</v>
      </c>
      <c r="AB18" s="50">
        <v>16</v>
      </c>
      <c r="AC18" s="57">
        <v>119</v>
      </c>
      <c r="AD18" s="75" t="s">
        <v>66</v>
      </c>
      <c r="AE18" s="50">
        <v>15</v>
      </c>
      <c r="AF18" s="57">
        <v>109</v>
      </c>
      <c r="AG18" s="75" t="s">
        <v>66</v>
      </c>
      <c r="AH18" s="60">
        <v>15</v>
      </c>
    </row>
    <row r="19" spans="1:34" ht="15.6" customHeight="1" x14ac:dyDescent="0.2">
      <c r="A19" s="72" t="s">
        <v>143</v>
      </c>
      <c r="B19" s="129">
        <v>72</v>
      </c>
      <c r="C19" s="134" t="s">
        <v>174</v>
      </c>
      <c r="D19" s="128">
        <v>20</v>
      </c>
      <c r="E19" s="58">
        <v>54</v>
      </c>
      <c r="F19" s="75" t="s">
        <v>72</v>
      </c>
      <c r="G19" s="60">
        <v>22</v>
      </c>
      <c r="H19" s="62">
        <v>63</v>
      </c>
      <c r="I19" s="75" t="s">
        <v>69</v>
      </c>
      <c r="J19" s="64">
        <v>20</v>
      </c>
      <c r="K19" s="95">
        <v>73</v>
      </c>
      <c r="L19" s="75" t="s">
        <v>69</v>
      </c>
      <c r="M19" s="50">
        <v>23</v>
      </c>
      <c r="N19" s="62">
        <v>50</v>
      </c>
      <c r="O19" s="75" t="s">
        <v>69</v>
      </c>
      <c r="P19" s="60">
        <v>15</v>
      </c>
      <c r="Q19" s="62">
        <v>63</v>
      </c>
      <c r="R19" s="75" t="s">
        <v>69</v>
      </c>
      <c r="S19" s="60">
        <v>16</v>
      </c>
      <c r="T19" s="57">
        <v>68</v>
      </c>
      <c r="U19" s="75" t="s">
        <v>66</v>
      </c>
      <c r="V19" s="60">
        <v>12</v>
      </c>
      <c r="W19" s="54">
        <v>63</v>
      </c>
      <c r="X19" s="75" t="s">
        <v>69</v>
      </c>
      <c r="Y19" s="50">
        <v>9</v>
      </c>
      <c r="Z19" s="62">
        <v>71</v>
      </c>
      <c r="AA19" s="75" t="s">
        <v>69</v>
      </c>
      <c r="AB19" s="50">
        <v>10</v>
      </c>
      <c r="AC19" s="62">
        <v>58</v>
      </c>
      <c r="AD19" s="75" t="s">
        <v>69</v>
      </c>
      <c r="AE19" s="50">
        <v>10</v>
      </c>
      <c r="AF19" s="62">
        <v>54</v>
      </c>
      <c r="AG19" s="75" t="s">
        <v>69</v>
      </c>
      <c r="AH19" s="60">
        <v>11</v>
      </c>
    </row>
    <row r="20" spans="1:34" ht="15.6" customHeight="1" x14ac:dyDescent="0.2">
      <c r="A20" s="66" t="s">
        <v>144</v>
      </c>
      <c r="B20" s="129">
        <v>51</v>
      </c>
      <c r="C20" s="134" t="s">
        <v>174</v>
      </c>
      <c r="D20" s="128">
        <v>18</v>
      </c>
      <c r="E20" s="58">
        <v>37</v>
      </c>
      <c r="F20" s="75" t="s">
        <v>72</v>
      </c>
      <c r="G20" s="60">
        <v>21</v>
      </c>
      <c r="H20" s="62">
        <v>47</v>
      </c>
      <c r="I20" s="75" t="s">
        <v>69</v>
      </c>
      <c r="J20" s="64">
        <v>18</v>
      </c>
      <c r="K20" s="95">
        <v>52</v>
      </c>
      <c r="L20" s="75" t="s">
        <v>69</v>
      </c>
      <c r="M20" s="50">
        <v>18</v>
      </c>
      <c r="N20" s="62">
        <v>44</v>
      </c>
      <c r="O20" s="75" t="s">
        <v>69</v>
      </c>
      <c r="P20" s="60">
        <v>15</v>
      </c>
      <c r="Q20" s="62">
        <v>39</v>
      </c>
      <c r="R20" s="75" t="s">
        <v>69</v>
      </c>
      <c r="S20" s="60">
        <v>12</v>
      </c>
      <c r="T20" s="62">
        <v>41</v>
      </c>
      <c r="U20" s="75" t="s">
        <v>69</v>
      </c>
      <c r="V20" s="60">
        <v>11</v>
      </c>
      <c r="W20" s="54">
        <v>36</v>
      </c>
      <c r="X20" s="75" t="s">
        <v>69</v>
      </c>
      <c r="Y20" s="50">
        <v>9</v>
      </c>
      <c r="Z20" s="62">
        <v>44</v>
      </c>
      <c r="AA20" s="75" t="s">
        <v>69</v>
      </c>
      <c r="AB20" s="50">
        <v>10</v>
      </c>
      <c r="AC20" s="62">
        <v>37</v>
      </c>
      <c r="AD20" s="75" t="s">
        <v>69</v>
      </c>
      <c r="AE20" s="50">
        <v>10</v>
      </c>
      <c r="AF20" s="62">
        <v>34</v>
      </c>
      <c r="AG20" s="75" t="s">
        <v>69</v>
      </c>
      <c r="AH20" s="60">
        <v>10</v>
      </c>
    </row>
    <row r="21" spans="1:34" ht="15.6" customHeight="1" x14ac:dyDescent="0.2">
      <c r="A21" s="67" t="s">
        <v>145</v>
      </c>
      <c r="B21" s="170">
        <v>20</v>
      </c>
      <c r="C21" s="136" t="s">
        <v>175</v>
      </c>
      <c r="D21" s="171">
        <v>9</v>
      </c>
      <c r="E21" s="160">
        <v>16</v>
      </c>
      <c r="F21" s="157" t="s">
        <v>72</v>
      </c>
      <c r="G21" s="90">
        <v>11</v>
      </c>
      <c r="H21" s="160">
        <v>16</v>
      </c>
      <c r="I21" s="157" t="s">
        <v>72</v>
      </c>
      <c r="J21" s="158">
        <v>13</v>
      </c>
      <c r="K21" s="174">
        <v>21</v>
      </c>
      <c r="L21" s="157" t="s">
        <v>72</v>
      </c>
      <c r="M21" s="48">
        <v>11</v>
      </c>
      <c r="N21" s="160">
        <v>6</v>
      </c>
      <c r="O21" s="157" t="s">
        <v>72</v>
      </c>
      <c r="P21" s="90">
        <v>5</v>
      </c>
      <c r="Q21" s="160">
        <v>25</v>
      </c>
      <c r="R21" s="157" t="s">
        <v>72</v>
      </c>
      <c r="S21" s="90">
        <v>11</v>
      </c>
      <c r="T21" s="97">
        <v>28</v>
      </c>
      <c r="U21" s="157" t="s">
        <v>69</v>
      </c>
      <c r="V21" s="90">
        <v>9</v>
      </c>
      <c r="W21" s="100">
        <v>28</v>
      </c>
      <c r="X21" s="157" t="s">
        <v>69</v>
      </c>
      <c r="Y21" s="48">
        <v>10</v>
      </c>
      <c r="Z21" s="97">
        <v>27</v>
      </c>
      <c r="AA21" s="157" t="s">
        <v>69</v>
      </c>
      <c r="AB21" s="48">
        <v>8</v>
      </c>
      <c r="AC21" s="97">
        <v>21</v>
      </c>
      <c r="AD21" s="157" t="s">
        <v>69</v>
      </c>
      <c r="AE21" s="48">
        <v>7</v>
      </c>
      <c r="AF21" s="97">
        <v>20</v>
      </c>
      <c r="AG21" s="157" t="s">
        <v>69</v>
      </c>
      <c r="AH21" s="90">
        <v>7</v>
      </c>
    </row>
    <row r="22" spans="1:34" ht="15.6" customHeight="1" x14ac:dyDescent="0.2">
      <c r="A22" s="76" t="s">
        <v>147</v>
      </c>
      <c r="B22" s="162">
        <v>2518</v>
      </c>
      <c r="C22" s="163" t="s">
        <v>173</v>
      </c>
      <c r="D22" s="164">
        <v>67</v>
      </c>
      <c r="E22" s="49">
        <v>2439</v>
      </c>
      <c r="F22" s="157" t="s">
        <v>63</v>
      </c>
      <c r="G22" s="90">
        <v>80</v>
      </c>
      <c r="H22" s="49">
        <v>2499</v>
      </c>
      <c r="I22" s="157" t="s">
        <v>63</v>
      </c>
      <c r="J22" s="158">
        <v>89</v>
      </c>
      <c r="K22" s="96">
        <v>2402</v>
      </c>
      <c r="L22" s="157" t="s">
        <v>63</v>
      </c>
      <c r="M22" s="90">
        <v>78</v>
      </c>
      <c r="N22" s="49">
        <v>2467</v>
      </c>
      <c r="O22" s="157" t="s">
        <v>63</v>
      </c>
      <c r="P22" s="90">
        <v>68</v>
      </c>
      <c r="Q22" s="49">
        <v>2455</v>
      </c>
      <c r="R22" s="157" t="s">
        <v>63</v>
      </c>
      <c r="S22" s="90">
        <v>89</v>
      </c>
      <c r="T22" s="49">
        <v>2426</v>
      </c>
      <c r="U22" s="157" t="s">
        <v>63</v>
      </c>
      <c r="V22" s="90">
        <v>33</v>
      </c>
      <c r="W22" s="48">
        <v>2356</v>
      </c>
      <c r="X22" s="157" t="s">
        <v>63</v>
      </c>
      <c r="Y22" s="90">
        <v>33</v>
      </c>
      <c r="Z22" s="48">
        <v>2331</v>
      </c>
      <c r="AA22" s="157" t="s">
        <v>63</v>
      </c>
      <c r="AB22" s="90">
        <v>31</v>
      </c>
      <c r="AC22" s="48">
        <v>2363</v>
      </c>
      <c r="AD22" s="157" t="s">
        <v>63</v>
      </c>
      <c r="AE22" s="90">
        <v>32</v>
      </c>
      <c r="AF22" s="48">
        <v>2384</v>
      </c>
      <c r="AG22" s="157" t="s">
        <v>63</v>
      </c>
      <c r="AH22" s="90">
        <v>32</v>
      </c>
    </row>
    <row r="23" spans="1:34" ht="15.6" customHeight="1" x14ac:dyDescent="0.2">
      <c r="A23" s="84" t="s">
        <v>148</v>
      </c>
      <c r="B23" s="143">
        <v>2.4300000000000002</v>
      </c>
      <c r="C23" s="136" t="s">
        <v>173</v>
      </c>
      <c r="D23" s="123">
        <v>7.0000000000000007E-2</v>
      </c>
      <c r="E23" s="138">
        <v>2.46</v>
      </c>
      <c r="F23" s="47" t="s">
        <v>63</v>
      </c>
      <c r="G23" s="139">
        <v>0.08</v>
      </c>
      <c r="H23" s="138">
        <v>2.38</v>
      </c>
      <c r="I23" s="47" t="s">
        <v>63</v>
      </c>
      <c r="J23" s="139">
        <v>0.08</v>
      </c>
      <c r="K23" s="137">
        <v>2.46</v>
      </c>
      <c r="L23" s="47" t="s">
        <v>63</v>
      </c>
      <c r="M23" s="139">
        <v>0.08</v>
      </c>
      <c r="N23" s="138">
        <v>2.38</v>
      </c>
      <c r="O23" s="47" t="s">
        <v>63</v>
      </c>
      <c r="P23" s="139">
        <v>7.0000000000000007E-2</v>
      </c>
      <c r="Q23" s="138">
        <v>2.39</v>
      </c>
      <c r="R23" s="47" t="s">
        <v>63</v>
      </c>
      <c r="S23" s="139">
        <v>0.09</v>
      </c>
      <c r="T23" s="138">
        <v>2.41</v>
      </c>
      <c r="U23" s="47" t="s">
        <v>63</v>
      </c>
      <c r="V23" s="139">
        <v>0.03</v>
      </c>
      <c r="W23" s="137">
        <v>2.4700000000000002</v>
      </c>
      <c r="X23" s="47" t="s">
        <v>63</v>
      </c>
      <c r="Y23" s="139">
        <v>0.03</v>
      </c>
      <c r="Z23" s="137">
        <v>2.48</v>
      </c>
      <c r="AA23" s="47" t="s">
        <v>63</v>
      </c>
      <c r="AB23" s="139">
        <v>0.03</v>
      </c>
      <c r="AC23" s="137">
        <v>2.4300000000000002</v>
      </c>
      <c r="AD23" s="47" t="s">
        <v>63</v>
      </c>
      <c r="AE23" s="139">
        <v>0.03</v>
      </c>
      <c r="AF23" s="137">
        <v>2.38</v>
      </c>
      <c r="AG23" s="47" t="s">
        <v>63</v>
      </c>
      <c r="AH23" s="139">
        <v>0.03</v>
      </c>
    </row>
    <row r="24" spans="1:34" ht="15.6" customHeight="1" x14ac:dyDescent="0.2"/>
    <row r="25" spans="1:34" ht="15.6" customHeight="1" x14ac:dyDescent="0.2"/>
  </sheetData>
  <hyperlinks>
    <hyperlink ref="A10" r:id="rId1" xr:uid="{00000000-0004-0000-0800-000000000000}"/>
    <hyperlink ref="A11" r:id="rId2" xr:uid="{00000000-0004-0000-0800-000001000000}"/>
    <hyperlink ref="A12" r:id="rId3" xr:uid="{00000000-0004-0000-0800-000002000000}"/>
  </hyperlinks>
  <pageMargins left="0.7" right="0.7" top="0.75" bottom="0.75" header="0.3" footer="0.3"/>
  <pageSetup paperSize="9" orientation="portrait" horizontalDpi="300" verticalDpi="0"/>
  <tableParts count="1">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HP25"/>
  <sheetViews>
    <sheetView showGridLines="0" showZeros="0" zoomScaleNormal="100" workbookViewId="0"/>
  </sheetViews>
  <sheetFormatPr defaultColWidth="10.88671875" defaultRowHeight="15" x14ac:dyDescent="0.2"/>
  <cols>
    <col min="1" max="1" width="55.5546875" customWidth="1"/>
    <col min="2" max="2" width="13.109375" bestFit="1" customWidth="1"/>
    <col min="3" max="3" width="8.21875" bestFit="1" customWidth="1"/>
    <col min="4" max="4" width="9.44140625" bestFit="1" customWidth="1"/>
    <col min="5" max="5" width="13.109375" bestFit="1" customWidth="1"/>
    <col min="6" max="6" width="8.21875" bestFit="1" customWidth="1"/>
    <col min="7" max="7" width="9.44140625" bestFit="1" customWidth="1"/>
    <col min="8" max="8" width="13.109375" bestFit="1" customWidth="1"/>
    <col min="9" max="9" width="8.21875" bestFit="1" customWidth="1"/>
    <col min="10" max="10" width="9.44140625" bestFit="1" customWidth="1"/>
    <col min="11" max="11" width="13.109375" bestFit="1" customWidth="1"/>
    <col min="12" max="12" width="8.21875" bestFit="1" customWidth="1"/>
    <col min="13" max="13" width="9.44140625" bestFit="1" customWidth="1"/>
    <col min="14" max="14" width="13.109375" bestFit="1" customWidth="1"/>
    <col min="15" max="15" width="8.21875" bestFit="1" customWidth="1"/>
    <col min="16" max="16" width="9.44140625" bestFit="1" customWidth="1"/>
    <col min="17" max="17" width="13.109375" bestFit="1" customWidth="1"/>
    <col min="18" max="18" width="8.21875" bestFit="1" customWidth="1"/>
    <col min="19" max="19" width="9.44140625" bestFit="1" customWidth="1"/>
    <col min="20" max="20" width="13.109375" bestFit="1" customWidth="1"/>
    <col min="21" max="21" width="8.21875" bestFit="1" customWidth="1"/>
    <col min="22" max="22" width="9.44140625" bestFit="1" customWidth="1"/>
    <col min="23" max="23" width="13.109375" bestFit="1" customWidth="1"/>
    <col min="24" max="24" width="8.21875" bestFit="1" customWidth="1"/>
    <col min="25" max="25" width="9.44140625" bestFit="1" customWidth="1"/>
    <col min="26" max="26" width="13.109375" bestFit="1" customWidth="1"/>
    <col min="27" max="27" width="8.21875" bestFit="1" customWidth="1"/>
    <col min="28" max="28" width="9.44140625" bestFit="1" customWidth="1"/>
    <col min="29" max="29" width="13.109375" bestFit="1" customWidth="1"/>
    <col min="30" max="30" width="8.21875" bestFit="1" customWidth="1"/>
    <col min="31" max="31" width="9.44140625" bestFit="1" customWidth="1"/>
    <col min="32" max="32" width="13.109375" bestFit="1" customWidth="1"/>
    <col min="33" max="33" width="8.21875" bestFit="1" customWidth="1"/>
    <col min="34" max="34" width="9.44140625" bestFit="1" customWidth="1"/>
  </cols>
  <sheetData>
    <row r="1" spans="1:224" ht="19.899999999999999" customHeight="1" x14ac:dyDescent="0.3">
      <c r="A1" s="193" t="s">
        <v>0</v>
      </c>
    </row>
    <row r="2" spans="1:224" ht="31.15" customHeight="1" x14ac:dyDescent="0.2">
      <c r="A2" s="194" t="s">
        <v>157</v>
      </c>
    </row>
    <row r="3" spans="1:224" ht="15.4" customHeight="1" x14ac:dyDescent="0.2">
      <c r="A3" s="101" t="s">
        <v>158</v>
      </c>
    </row>
    <row r="4" spans="1:224" ht="15.4" customHeight="1" x14ac:dyDescent="0.2">
      <c r="A4" s="101" t="s">
        <v>98</v>
      </c>
    </row>
    <row r="5" spans="1:224" ht="15.6" customHeight="1" x14ac:dyDescent="0.2">
      <c r="A5" s="101" t="s">
        <v>99</v>
      </c>
    </row>
    <row r="6" spans="1:224" ht="15.6" customHeight="1" x14ac:dyDescent="0.2">
      <c r="A6" s="101" t="s">
        <v>179</v>
      </c>
    </row>
    <row r="7" spans="1:224" ht="15.6" customHeight="1" x14ac:dyDescent="0.2">
      <c r="A7" s="101" t="s">
        <v>180</v>
      </c>
    </row>
    <row r="8" spans="1:224" ht="15.4" customHeight="1" x14ac:dyDescent="0.25">
      <c r="A8" s="101" t="s">
        <v>181</v>
      </c>
      <c r="B8" s="81"/>
      <c r="C8" s="81"/>
      <c r="D8" s="81"/>
      <c r="E8" s="81"/>
      <c r="F8" s="81"/>
      <c r="G8" s="81"/>
      <c r="H8" s="81"/>
      <c r="I8" s="81"/>
      <c r="J8" s="81"/>
      <c r="K8" s="81"/>
      <c r="L8" s="81"/>
      <c r="M8" s="81"/>
      <c r="N8" s="81"/>
      <c r="O8" s="81"/>
      <c r="P8" s="81"/>
      <c r="Q8" s="81"/>
      <c r="R8" s="81"/>
      <c r="S8" s="81"/>
      <c r="T8" s="81"/>
      <c r="U8" s="81"/>
      <c r="V8" s="81"/>
      <c r="W8" s="81"/>
      <c r="X8" s="82"/>
      <c r="Y8" s="82"/>
      <c r="Z8" s="82"/>
      <c r="AA8" s="82"/>
      <c r="AB8" s="82"/>
      <c r="AC8" s="82"/>
      <c r="AD8" s="82"/>
      <c r="AE8" s="82"/>
      <c r="AF8" s="82"/>
      <c r="AG8" s="82"/>
      <c r="AH8" s="82"/>
      <c r="AI8" s="82"/>
      <c r="AJ8" s="82"/>
      <c r="AK8" s="82"/>
      <c r="AL8" s="82"/>
      <c r="AM8" s="82"/>
      <c r="AN8" s="82"/>
      <c r="AO8" s="82"/>
      <c r="AP8" s="82"/>
      <c r="AQ8" s="82"/>
      <c r="AR8" s="82"/>
      <c r="AS8" s="82"/>
      <c r="AT8" s="82"/>
      <c r="AU8" s="82"/>
      <c r="AV8" s="82"/>
      <c r="AW8" s="82"/>
      <c r="AX8" s="82"/>
      <c r="AY8" s="82"/>
      <c r="AZ8" s="82"/>
      <c r="BA8" s="82"/>
      <c r="BB8" s="82"/>
      <c r="BC8" s="82"/>
      <c r="BD8" s="82"/>
      <c r="BE8" s="82"/>
      <c r="BF8" s="82"/>
      <c r="BG8" s="82"/>
      <c r="BH8" s="82"/>
      <c r="BI8" s="82"/>
      <c r="BJ8" s="82"/>
      <c r="BK8" s="82"/>
      <c r="BL8" s="82"/>
      <c r="BM8" s="82"/>
      <c r="BN8" s="82"/>
      <c r="BO8" s="82"/>
      <c r="BP8" s="82"/>
      <c r="BQ8" s="82"/>
      <c r="BR8" s="82"/>
      <c r="BS8" s="82"/>
      <c r="BT8" s="82"/>
      <c r="BU8" s="82"/>
      <c r="BV8" s="82"/>
      <c r="BW8" s="82"/>
      <c r="BX8" s="82"/>
      <c r="BY8" s="82"/>
      <c r="BZ8" s="82"/>
      <c r="CA8" s="82"/>
      <c r="CB8" s="82"/>
      <c r="CC8" s="82"/>
      <c r="CD8" s="82"/>
      <c r="CE8" s="82"/>
      <c r="CF8" s="82"/>
      <c r="CG8" s="82"/>
      <c r="CH8" s="82"/>
      <c r="CI8" s="82"/>
      <c r="CJ8" s="82"/>
      <c r="CK8" s="82"/>
      <c r="CL8" s="82"/>
      <c r="CM8" s="82"/>
      <c r="CN8" s="82"/>
      <c r="CO8" s="82"/>
      <c r="CP8" s="82"/>
      <c r="CQ8" s="82"/>
      <c r="CR8" s="82"/>
      <c r="CS8" s="82"/>
      <c r="CT8" s="82"/>
      <c r="CU8" s="82"/>
      <c r="CV8" s="82"/>
      <c r="CW8" s="82"/>
      <c r="CX8" s="82"/>
      <c r="CY8" s="82"/>
      <c r="CZ8" s="82"/>
      <c r="DA8" s="82"/>
      <c r="DB8" s="82"/>
      <c r="DC8" s="82"/>
      <c r="DD8" s="82"/>
      <c r="DE8" s="82"/>
      <c r="DF8" s="82"/>
      <c r="DG8" s="82"/>
      <c r="DH8" s="82"/>
      <c r="DI8" s="82"/>
      <c r="DJ8" s="82"/>
      <c r="DK8" s="82"/>
      <c r="DL8" s="82"/>
      <c r="DM8" s="82"/>
      <c r="DN8" s="82"/>
      <c r="DO8" s="82"/>
      <c r="DP8" s="82"/>
      <c r="DQ8" s="82"/>
      <c r="DR8" s="82"/>
      <c r="DS8" s="82"/>
      <c r="DT8" s="82"/>
      <c r="DU8" s="82"/>
      <c r="DV8" s="82"/>
      <c r="DW8" s="82"/>
      <c r="DX8" s="82"/>
      <c r="DY8" s="82"/>
      <c r="DZ8" s="82"/>
      <c r="EA8" s="82"/>
      <c r="EB8" s="82"/>
      <c r="EC8" s="82"/>
      <c r="ED8" s="82"/>
      <c r="EE8" s="82"/>
      <c r="EF8" s="82"/>
      <c r="EG8" s="82"/>
      <c r="EH8" s="82"/>
      <c r="EI8" s="82"/>
      <c r="EJ8" s="82"/>
      <c r="EK8" s="82"/>
      <c r="EL8" s="82"/>
      <c r="EM8" s="82"/>
      <c r="EN8" s="82"/>
      <c r="EO8" s="82"/>
      <c r="EP8" s="82"/>
      <c r="EQ8" s="82"/>
      <c r="ER8" s="82"/>
      <c r="ES8" s="82"/>
      <c r="ET8" s="82"/>
      <c r="EU8" s="82"/>
      <c r="EV8" s="82"/>
      <c r="EW8" s="82"/>
      <c r="EX8" s="82"/>
      <c r="EY8" s="82"/>
      <c r="EZ8" s="82"/>
      <c r="FA8" s="82"/>
      <c r="FB8" s="82"/>
      <c r="FC8" s="82"/>
      <c r="FD8" s="82"/>
      <c r="FE8" s="82"/>
      <c r="FF8" s="82"/>
      <c r="FG8" s="82"/>
      <c r="FH8" s="82"/>
      <c r="FI8" s="82"/>
      <c r="FJ8" s="82"/>
      <c r="FK8" s="82"/>
      <c r="FL8" s="82"/>
      <c r="FM8" s="82"/>
      <c r="FN8" s="82"/>
      <c r="FO8" s="82"/>
      <c r="FP8" s="82"/>
      <c r="FQ8" s="82"/>
      <c r="FR8" s="82"/>
      <c r="FS8" s="82"/>
      <c r="FT8" s="82"/>
      <c r="FU8" s="82"/>
      <c r="FV8" s="82"/>
      <c r="FW8" s="82"/>
      <c r="FX8" s="82"/>
      <c r="FY8" s="82"/>
      <c r="FZ8" s="82"/>
      <c r="GA8" s="82"/>
      <c r="GB8" s="82"/>
      <c r="GC8" s="82"/>
      <c r="GD8" s="82"/>
      <c r="GE8" s="82"/>
      <c r="GF8" s="82"/>
      <c r="GG8" s="82"/>
      <c r="GH8" s="82"/>
      <c r="GI8" s="82"/>
      <c r="GJ8" s="82"/>
      <c r="GK8" s="82"/>
      <c r="GL8" s="82"/>
      <c r="GM8" s="82"/>
      <c r="GN8" s="82"/>
      <c r="GO8" s="82"/>
      <c r="GP8" s="82"/>
      <c r="GQ8" s="82"/>
      <c r="GR8" s="82"/>
      <c r="GS8" s="82"/>
      <c r="GT8" s="82"/>
      <c r="GU8" s="82"/>
      <c r="GV8" s="82"/>
      <c r="GW8" s="82"/>
      <c r="GX8" s="82"/>
      <c r="GY8" s="82"/>
      <c r="GZ8" s="82"/>
      <c r="HA8" s="82"/>
      <c r="HB8" s="82"/>
      <c r="HC8" s="82"/>
      <c r="HD8" s="82"/>
      <c r="HE8" s="82"/>
      <c r="HF8" s="82"/>
      <c r="HG8" s="82"/>
      <c r="HH8" s="82"/>
      <c r="HI8" s="82"/>
      <c r="HJ8" s="82"/>
      <c r="HK8" s="82"/>
      <c r="HL8" s="82"/>
      <c r="HM8" s="82"/>
      <c r="HN8" s="82"/>
      <c r="HO8" s="82"/>
      <c r="HP8" s="82"/>
    </row>
    <row r="9" spans="1:224" ht="31.15" customHeight="1" x14ac:dyDescent="0.2">
      <c r="A9" s="65" t="s">
        <v>100</v>
      </c>
    </row>
    <row r="10" spans="1:224" ht="15" customHeight="1" x14ac:dyDescent="0.2">
      <c r="A10" s="113" t="s">
        <v>101</v>
      </c>
    </row>
    <row r="11" spans="1:224" ht="15.4" customHeight="1" x14ac:dyDescent="0.2">
      <c r="A11" s="113" t="s">
        <v>102</v>
      </c>
    </row>
    <row r="12" spans="1:224" ht="31.15" customHeight="1" x14ac:dyDescent="0.2">
      <c r="A12" s="114" t="s">
        <v>103</v>
      </c>
    </row>
    <row r="13" spans="1:224" ht="31.15" customHeight="1" x14ac:dyDescent="0.2">
      <c r="A13" s="71" t="s">
        <v>104</v>
      </c>
      <c r="B13" s="77" t="s">
        <v>105</v>
      </c>
      <c r="C13" s="70" t="s">
        <v>106</v>
      </c>
      <c r="D13" s="74" t="s">
        <v>107</v>
      </c>
      <c r="E13" s="70" t="s">
        <v>108</v>
      </c>
      <c r="F13" s="70" t="s">
        <v>109</v>
      </c>
      <c r="G13" s="70" t="s">
        <v>110</v>
      </c>
      <c r="H13" s="77" t="s">
        <v>111</v>
      </c>
      <c r="I13" s="70" t="s">
        <v>112</v>
      </c>
      <c r="J13" s="74" t="s">
        <v>113</v>
      </c>
      <c r="K13" s="70" t="s">
        <v>114</v>
      </c>
      <c r="L13" s="70" t="s">
        <v>115</v>
      </c>
      <c r="M13" s="74" t="s">
        <v>116</v>
      </c>
      <c r="N13" s="77" t="s">
        <v>117</v>
      </c>
      <c r="O13" s="70" t="s">
        <v>118</v>
      </c>
      <c r="P13" s="74" t="s">
        <v>119</v>
      </c>
      <c r="Q13" s="77" t="s">
        <v>120</v>
      </c>
      <c r="R13" s="70" t="s">
        <v>121</v>
      </c>
      <c r="S13" s="70" t="s">
        <v>122</v>
      </c>
      <c r="T13" s="77" t="s">
        <v>123</v>
      </c>
      <c r="U13" s="70" t="s">
        <v>124</v>
      </c>
      <c r="V13" s="74" t="s">
        <v>125</v>
      </c>
      <c r="W13" s="70" t="s">
        <v>126</v>
      </c>
      <c r="X13" s="70" t="s">
        <v>127</v>
      </c>
      <c r="Y13" s="74" t="s">
        <v>128</v>
      </c>
      <c r="Z13" s="70" t="s">
        <v>129</v>
      </c>
      <c r="AA13" s="70" t="s">
        <v>130</v>
      </c>
      <c r="AB13" s="74" t="s">
        <v>131</v>
      </c>
      <c r="AC13" s="70" t="s">
        <v>132</v>
      </c>
      <c r="AD13" s="70" t="s">
        <v>133</v>
      </c>
      <c r="AE13" s="74" t="s">
        <v>134</v>
      </c>
      <c r="AF13" s="70" t="s">
        <v>135</v>
      </c>
      <c r="AG13" s="70" t="s">
        <v>136</v>
      </c>
      <c r="AH13" s="74" t="s">
        <v>137</v>
      </c>
    </row>
    <row r="14" spans="1:224" ht="15.6" customHeight="1" x14ac:dyDescent="0.2">
      <c r="A14" s="83" t="s">
        <v>138</v>
      </c>
      <c r="B14" s="124">
        <v>731</v>
      </c>
      <c r="C14" s="133" t="s">
        <v>172</v>
      </c>
      <c r="D14" s="154">
        <v>75</v>
      </c>
      <c r="E14" s="79">
        <v>742</v>
      </c>
      <c r="F14" s="78" t="s">
        <v>66</v>
      </c>
      <c r="G14" s="80">
        <v>80</v>
      </c>
      <c r="H14" s="79">
        <v>801</v>
      </c>
      <c r="I14" s="78" t="s">
        <v>66</v>
      </c>
      <c r="J14" s="80">
        <v>83</v>
      </c>
      <c r="K14" s="89">
        <v>803</v>
      </c>
      <c r="L14" s="78" t="s">
        <v>63</v>
      </c>
      <c r="M14" s="80">
        <v>73</v>
      </c>
      <c r="N14" s="89">
        <v>684</v>
      </c>
      <c r="O14" s="78" t="s">
        <v>63</v>
      </c>
      <c r="P14" s="80">
        <v>61</v>
      </c>
      <c r="Q14" s="79">
        <v>718</v>
      </c>
      <c r="R14" s="78" t="s">
        <v>66</v>
      </c>
      <c r="S14" s="80">
        <v>71</v>
      </c>
      <c r="T14" s="89">
        <v>791</v>
      </c>
      <c r="U14" s="78" t="s">
        <v>63</v>
      </c>
      <c r="V14" s="80">
        <v>54</v>
      </c>
      <c r="W14" s="89">
        <v>726</v>
      </c>
      <c r="X14" s="78" t="s">
        <v>63</v>
      </c>
      <c r="Y14" s="80">
        <v>49</v>
      </c>
      <c r="Z14" s="89">
        <v>726</v>
      </c>
      <c r="AA14" s="78" t="s">
        <v>63</v>
      </c>
      <c r="AB14" s="80">
        <v>49</v>
      </c>
      <c r="AC14" s="89">
        <v>672</v>
      </c>
      <c r="AD14" s="78" t="s">
        <v>63</v>
      </c>
      <c r="AE14" s="80">
        <v>49</v>
      </c>
      <c r="AF14" s="89">
        <v>701</v>
      </c>
      <c r="AG14" s="78" t="s">
        <v>63</v>
      </c>
      <c r="AH14" s="80">
        <v>47</v>
      </c>
    </row>
    <row r="15" spans="1:224" ht="15.6" customHeight="1" x14ac:dyDescent="0.2">
      <c r="A15" s="83" t="s">
        <v>139</v>
      </c>
      <c r="B15" s="144">
        <v>918</v>
      </c>
      <c r="C15" s="134" t="s">
        <v>173</v>
      </c>
      <c r="D15" s="155">
        <v>60</v>
      </c>
      <c r="E15" s="51">
        <v>910</v>
      </c>
      <c r="F15" s="75" t="s">
        <v>63</v>
      </c>
      <c r="G15" s="60">
        <v>69</v>
      </c>
      <c r="H15" s="51">
        <v>901</v>
      </c>
      <c r="I15" s="75" t="s">
        <v>63</v>
      </c>
      <c r="J15" s="60">
        <v>75</v>
      </c>
      <c r="K15" s="51">
        <v>940</v>
      </c>
      <c r="L15" s="75" t="s">
        <v>63</v>
      </c>
      <c r="M15" s="60">
        <v>60</v>
      </c>
      <c r="N15" s="51">
        <v>914</v>
      </c>
      <c r="O15" s="75" t="s">
        <v>63</v>
      </c>
      <c r="P15" s="60">
        <v>57</v>
      </c>
      <c r="Q15" s="51">
        <v>879</v>
      </c>
      <c r="R15" s="75" t="s">
        <v>63</v>
      </c>
      <c r="S15" s="60">
        <v>56</v>
      </c>
      <c r="T15" s="51">
        <v>889</v>
      </c>
      <c r="U15" s="75" t="s">
        <v>63</v>
      </c>
      <c r="V15" s="60">
        <v>39</v>
      </c>
      <c r="W15" s="51">
        <v>896</v>
      </c>
      <c r="X15" s="75" t="s">
        <v>63</v>
      </c>
      <c r="Y15" s="60">
        <v>38</v>
      </c>
      <c r="Z15" s="51">
        <v>903</v>
      </c>
      <c r="AA15" s="75" t="s">
        <v>63</v>
      </c>
      <c r="AB15" s="60">
        <v>37</v>
      </c>
      <c r="AC15" s="51">
        <v>935</v>
      </c>
      <c r="AD15" s="75" t="s">
        <v>63</v>
      </c>
      <c r="AE15" s="60">
        <v>37</v>
      </c>
      <c r="AF15" s="51">
        <v>927</v>
      </c>
      <c r="AG15" s="75" t="s">
        <v>63</v>
      </c>
      <c r="AH15" s="60">
        <v>36</v>
      </c>
    </row>
    <row r="16" spans="1:224" ht="15.6" customHeight="1" x14ac:dyDescent="0.2">
      <c r="A16" s="83" t="s">
        <v>140</v>
      </c>
      <c r="B16" s="144">
        <v>441</v>
      </c>
      <c r="C16" s="134" t="s">
        <v>173</v>
      </c>
      <c r="D16" s="155">
        <v>37</v>
      </c>
      <c r="E16" s="57">
        <v>452</v>
      </c>
      <c r="F16" s="75" t="s">
        <v>66</v>
      </c>
      <c r="G16" s="60">
        <v>45</v>
      </c>
      <c r="H16" s="57">
        <v>402</v>
      </c>
      <c r="I16" s="75" t="s">
        <v>66</v>
      </c>
      <c r="J16" s="60">
        <v>44</v>
      </c>
      <c r="K16" s="51">
        <v>398</v>
      </c>
      <c r="L16" s="75" t="s">
        <v>63</v>
      </c>
      <c r="M16" s="60">
        <v>37</v>
      </c>
      <c r="N16" s="51">
        <v>439</v>
      </c>
      <c r="O16" s="75" t="s">
        <v>63</v>
      </c>
      <c r="P16" s="60">
        <v>34</v>
      </c>
      <c r="Q16" s="51">
        <v>391</v>
      </c>
      <c r="R16" s="75" t="s">
        <v>63</v>
      </c>
      <c r="S16" s="60">
        <v>36</v>
      </c>
      <c r="T16" s="51">
        <v>396</v>
      </c>
      <c r="U16" s="75" t="s">
        <v>63</v>
      </c>
      <c r="V16" s="60">
        <v>30</v>
      </c>
      <c r="W16" s="51">
        <v>403</v>
      </c>
      <c r="X16" s="75" t="s">
        <v>63</v>
      </c>
      <c r="Y16" s="60">
        <v>29</v>
      </c>
      <c r="Z16" s="51">
        <v>410</v>
      </c>
      <c r="AA16" s="75" t="s">
        <v>63</v>
      </c>
      <c r="AB16" s="60">
        <v>28</v>
      </c>
      <c r="AC16" s="51">
        <v>406</v>
      </c>
      <c r="AD16" s="75" t="s">
        <v>63</v>
      </c>
      <c r="AE16" s="60">
        <v>28</v>
      </c>
      <c r="AF16" s="51">
        <v>405</v>
      </c>
      <c r="AG16" s="75" t="s">
        <v>63</v>
      </c>
      <c r="AH16" s="60">
        <v>27</v>
      </c>
    </row>
    <row r="17" spans="1:34" ht="15.6" customHeight="1" x14ac:dyDescent="0.2">
      <c r="A17" s="83" t="s">
        <v>141</v>
      </c>
      <c r="B17" s="144">
        <v>439</v>
      </c>
      <c r="C17" s="134" t="s">
        <v>173</v>
      </c>
      <c r="D17" s="155">
        <v>34</v>
      </c>
      <c r="E17" s="57">
        <v>398</v>
      </c>
      <c r="F17" s="75" t="s">
        <v>66</v>
      </c>
      <c r="G17" s="60">
        <v>42</v>
      </c>
      <c r="H17" s="57">
        <v>373</v>
      </c>
      <c r="I17" s="75" t="s">
        <v>66</v>
      </c>
      <c r="J17" s="60">
        <v>39</v>
      </c>
      <c r="K17" s="51">
        <v>394</v>
      </c>
      <c r="L17" s="75" t="s">
        <v>63</v>
      </c>
      <c r="M17" s="60">
        <v>36</v>
      </c>
      <c r="N17" s="51">
        <v>396</v>
      </c>
      <c r="O17" s="75" t="s">
        <v>63</v>
      </c>
      <c r="P17" s="60">
        <v>31</v>
      </c>
      <c r="Q17" s="51">
        <v>422</v>
      </c>
      <c r="R17" s="75" t="s">
        <v>63</v>
      </c>
      <c r="S17" s="60">
        <v>33</v>
      </c>
      <c r="T17" s="51">
        <v>390</v>
      </c>
      <c r="U17" s="75" t="s">
        <v>63</v>
      </c>
      <c r="V17" s="60">
        <v>26</v>
      </c>
      <c r="W17" s="51">
        <v>378</v>
      </c>
      <c r="X17" s="75" t="s">
        <v>63</v>
      </c>
      <c r="Y17" s="60">
        <v>25</v>
      </c>
      <c r="Z17" s="51">
        <v>377</v>
      </c>
      <c r="AA17" s="75" t="s">
        <v>63</v>
      </c>
      <c r="AB17" s="60">
        <v>24</v>
      </c>
      <c r="AC17" s="51">
        <v>362</v>
      </c>
      <c r="AD17" s="75" t="s">
        <v>63</v>
      </c>
      <c r="AE17" s="60">
        <v>24</v>
      </c>
      <c r="AF17" s="51">
        <v>353</v>
      </c>
      <c r="AG17" s="75" t="s">
        <v>63</v>
      </c>
      <c r="AH17" s="60">
        <v>23</v>
      </c>
    </row>
    <row r="18" spans="1:34" ht="15.6" customHeight="1" x14ac:dyDescent="0.2">
      <c r="A18" s="83" t="s">
        <v>142</v>
      </c>
      <c r="B18" s="129">
        <v>126</v>
      </c>
      <c r="C18" s="134" t="s">
        <v>174</v>
      </c>
      <c r="D18" s="155">
        <v>27</v>
      </c>
      <c r="E18" s="62">
        <v>125</v>
      </c>
      <c r="F18" s="75" t="s">
        <v>69</v>
      </c>
      <c r="G18" s="60">
        <v>28</v>
      </c>
      <c r="H18" s="62">
        <v>122</v>
      </c>
      <c r="I18" s="75" t="s">
        <v>69</v>
      </c>
      <c r="J18" s="60">
        <v>26</v>
      </c>
      <c r="K18" s="57">
        <v>122</v>
      </c>
      <c r="L18" s="75" t="s">
        <v>66</v>
      </c>
      <c r="M18" s="60">
        <v>22</v>
      </c>
      <c r="N18" s="57">
        <v>117</v>
      </c>
      <c r="O18" s="75" t="s">
        <v>66</v>
      </c>
      <c r="P18" s="60">
        <v>20</v>
      </c>
      <c r="Q18" s="57">
        <v>124</v>
      </c>
      <c r="R18" s="75" t="s">
        <v>66</v>
      </c>
      <c r="S18" s="60">
        <v>20</v>
      </c>
      <c r="T18" s="57">
        <v>108</v>
      </c>
      <c r="U18" s="75" t="s">
        <v>66</v>
      </c>
      <c r="V18" s="60">
        <v>16</v>
      </c>
      <c r="W18" s="57">
        <v>119</v>
      </c>
      <c r="X18" s="75" t="s">
        <v>66</v>
      </c>
      <c r="Y18" s="60">
        <v>16</v>
      </c>
      <c r="Z18" s="57">
        <v>107</v>
      </c>
      <c r="AA18" s="75" t="s">
        <v>66</v>
      </c>
      <c r="AB18" s="60">
        <v>15</v>
      </c>
      <c r="AC18" s="57">
        <v>116</v>
      </c>
      <c r="AD18" s="75" t="s">
        <v>66</v>
      </c>
      <c r="AE18" s="60">
        <v>14</v>
      </c>
      <c r="AF18" s="57">
        <v>111</v>
      </c>
      <c r="AG18" s="75" t="s">
        <v>66</v>
      </c>
      <c r="AH18" s="60">
        <v>14</v>
      </c>
    </row>
    <row r="19" spans="1:34" ht="15.6" customHeight="1" x14ac:dyDescent="0.2">
      <c r="A19" s="83" t="s">
        <v>143</v>
      </c>
      <c r="B19" s="129">
        <v>36</v>
      </c>
      <c r="C19" s="134" t="s">
        <v>174</v>
      </c>
      <c r="D19" s="155">
        <v>11</v>
      </c>
      <c r="E19" s="58">
        <v>39</v>
      </c>
      <c r="F19" s="75" t="s">
        <v>72</v>
      </c>
      <c r="G19" s="60">
        <v>16</v>
      </c>
      <c r="H19" s="62">
        <v>61</v>
      </c>
      <c r="I19" s="75" t="s">
        <v>69</v>
      </c>
      <c r="J19" s="60">
        <v>22</v>
      </c>
      <c r="K19" s="58">
        <v>35</v>
      </c>
      <c r="L19" s="75" t="s">
        <v>72</v>
      </c>
      <c r="M19" s="60">
        <v>14</v>
      </c>
      <c r="N19" s="62">
        <v>40</v>
      </c>
      <c r="O19" s="75" t="s">
        <v>69</v>
      </c>
      <c r="P19" s="60">
        <v>13</v>
      </c>
      <c r="Q19" s="62">
        <v>41</v>
      </c>
      <c r="R19" s="75" t="s">
        <v>69</v>
      </c>
      <c r="S19" s="60">
        <v>14</v>
      </c>
      <c r="T19" s="62">
        <v>51</v>
      </c>
      <c r="U19" s="75" t="s">
        <v>69</v>
      </c>
      <c r="V19" s="60">
        <v>11</v>
      </c>
      <c r="W19" s="62">
        <v>47</v>
      </c>
      <c r="X19" s="75" t="s">
        <v>69</v>
      </c>
      <c r="Y19" s="60">
        <v>10</v>
      </c>
      <c r="Z19" s="62">
        <v>46</v>
      </c>
      <c r="AA19" s="75" t="s">
        <v>69</v>
      </c>
      <c r="AB19" s="60">
        <v>9</v>
      </c>
      <c r="AC19" s="62">
        <v>42</v>
      </c>
      <c r="AD19" s="75" t="s">
        <v>69</v>
      </c>
      <c r="AE19" s="60">
        <v>9</v>
      </c>
      <c r="AF19" s="62">
        <v>40</v>
      </c>
      <c r="AG19" s="75" t="s">
        <v>69</v>
      </c>
      <c r="AH19" s="60">
        <v>9</v>
      </c>
    </row>
    <row r="20" spans="1:34" ht="15.6" customHeight="1" x14ac:dyDescent="0.2">
      <c r="A20" s="66" t="s">
        <v>144</v>
      </c>
      <c r="B20" s="129">
        <v>28</v>
      </c>
      <c r="C20" s="134" t="s">
        <v>174</v>
      </c>
      <c r="D20" s="155">
        <v>10</v>
      </c>
      <c r="E20" s="58">
        <v>24</v>
      </c>
      <c r="F20" s="75" t="s">
        <v>72</v>
      </c>
      <c r="G20" s="60">
        <v>12</v>
      </c>
      <c r="H20" s="58">
        <v>37</v>
      </c>
      <c r="I20" s="75" t="s">
        <v>72</v>
      </c>
      <c r="J20" s="60">
        <v>17</v>
      </c>
      <c r="K20" s="58">
        <v>30</v>
      </c>
      <c r="L20" s="75" t="s">
        <v>72</v>
      </c>
      <c r="M20" s="60">
        <v>14</v>
      </c>
      <c r="N20" s="62">
        <v>31</v>
      </c>
      <c r="O20" s="75" t="s">
        <v>69</v>
      </c>
      <c r="P20" s="60">
        <v>11</v>
      </c>
      <c r="Q20" s="58">
        <v>30</v>
      </c>
      <c r="R20" s="75" t="s">
        <v>72</v>
      </c>
      <c r="S20" s="60">
        <v>12</v>
      </c>
      <c r="T20" s="62">
        <v>36</v>
      </c>
      <c r="U20" s="75" t="s">
        <v>69</v>
      </c>
      <c r="V20" s="60">
        <v>9</v>
      </c>
      <c r="W20" s="62">
        <v>35</v>
      </c>
      <c r="X20" s="75" t="s">
        <v>69</v>
      </c>
      <c r="Y20" s="60">
        <v>10</v>
      </c>
      <c r="Z20" s="62">
        <v>37</v>
      </c>
      <c r="AA20" s="75" t="s">
        <v>69</v>
      </c>
      <c r="AB20" s="60">
        <v>9</v>
      </c>
      <c r="AC20" s="62">
        <v>34</v>
      </c>
      <c r="AD20" s="75" t="s">
        <v>69</v>
      </c>
      <c r="AE20" s="60">
        <v>9</v>
      </c>
      <c r="AF20" s="62">
        <v>33</v>
      </c>
      <c r="AG20" s="75" t="s">
        <v>69</v>
      </c>
      <c r="AH20" s="60">
        <v>8</v>
      </c>
    </row>
    <row r="21" spans="1:34" ht="15.6" customHeight="1" x14ac:dyDescent="0.2">
      <c r="A21" s="67" t="s">
        <v>145</v>
      </c>
      <c r="B21" s="130">
        <v>8</v>
      </c>
      <c r="C21" s="134" t="s">
        <v>175</v>
      </c>
      <c r="D21" s="155">
        <v>6</v>
      </c>
      <c r="E21" s="160">
        <v>14</v>
      </c>
      <c r="F21" s="157" t="s">
        <v>72</v>
      </c>
      <c r="G21" s="90">
        <v>10</v>
      </c>
      <c r="H21" s="160">
        <v>23</v>
      </c>
      <c r="I21" s="157" t="s">
        <v>72</v>
      </c>
      <c r="J21" s="90">
        <v>14</v>
      </c>
      <c r="K21" s="160">
        <v>5</v>
      </c>
      <c r="L21" s="157" t="s">
        <v>72</v>
      </c>
      <c r="M21" s="90">
        <v>5</v>
      </c>
      <c r="N21" s="160">
        <v>9</v>
      </c>
      <c r="O21" s="157" t="s">
        <v>72</v>
      </c>
      <c r="P21" s="90">
        <v>7</v>
      </c>
      <c r="Q21" s="160">
        <v>11</v>
      </c>
      <c r="R21" s="157" t="s">
        <v>72</v>
      </c>
      <c r="S21" s="90">
        <v>7</v>
      </c>
      <c r="T21" s="160">
        <v>15</v>
      </c>
      <c r="U21" s="157" t="s">
        <v>72</v>
      </c>
      <c r="V21" s="90">
        <v>6</v>
      </c>
      <c r="W21" s="160">
        <v>12</v>
      </c>
      <c r="X21" s="157" t="s">
        <v>72</v>
      </c>
      <c r="Y21" s="90">
        <v>6</v>
      </c>
      <c r="Z21" s="160">
        <v>9</v>
      </c>
      <c r="AA21" s="157" t="s">
        <v>72</v>
      </c>
      <c r="AB21" s="90">
        <v>5</v>
      </c>
      <c r="AC21" s="160">
        <v>8</v>
      </c>
      <c r="AD21" s="157" t="s">
        <v>72</v>
      </c>
      <c r="AE21" s="90">
        <v>4</v>
      </c>
      <c r="AF21" s="160">
        <v>8</v>
      </c>
      <c r="AG21" s="157" t="s">
        <v>72</v>
      </c>
      <c r="AH21" s="90">
        <v>4</v>
      </c>
    </row>
    <row r="22" spans="1:34" ht="15.6" customHeight="1" x14ac:dyDescent="0.2">
      <c r="A22" s="76" t="s">
        <v>147</v>
      </c>
      <c r="B22" s="145">
        <v>2691</v>
      </c>
      <c r="C22" s="135" t="s">
        <v>173</v>
      </c>
      <c r="D22" s="132">
        <v>67</v>
      </c>
      <c r="E22" s="48">
        <v>2665</v>
      </c>
      <c r="F22" s="157" t="s">
        <v>63</v>
      </c>
      <c r="G22" s="48">
        <v>77</v>
      </c>
      <c r="H22" s="49">
        <v>2659</v>
      </c>
      <c r="I22" s="157" t="s">
        <v>63</v>
      </c>
      <c r="J22" s="90">
        <v>84</v>
      </c>
      <c r="K22" s="48">
        <v>2692</v>
      </c>
      <c r="L22" s="157" t="s">
        <v>63</v>
      </c>
      <c r="M22" s="90">
        <v>68</v>
      </c>
      <c r="N22" s="48">
        <v>2591</v>
      </c>
      <c r="O22" s="157" t="s">
        <v>63</v>
      </c>
      <c r="P22" s="90">
        <v>60</v>
      </c>
      <c r="Q22" s="48">
        <v>2575</v>
      </c>
      <c r="R22" s="157" t="s">
        <v>63</v>
      </c>
      <c r="S22" s="48">
        <v>61</v>
      </c>
      <c r="T22" s="49">
        <v>2626</v>
      </c>
      <c r="U22" s="157" t="s">
        <v>63</v>
      </c>
      <c r="V22" s="90">
        <v>33</v>
      </c>
      <c r="W22" s="48">
        <v>2569</v>
      </c>
      <c r="X22" s="157" t="s">
        <v>63</v>
      </c>
      <c r="Y22" s="90">
        <v>31</v>
      </c>
      <c r="Z22" s="48">
        <v>2568</v>
      </c>
      <c r="AA22" s="157" t="s">
        <v>63</v>
      </c>
      <c r="AB22" s="90">
        <v>31</v>
      </c>
      <c r="AC22" s="48">
        <v>2532</v>
      </c>
      <c r="AD22" s="157" t="s">
        <v>63</v>
      </c>
      <c r="AE22" s="90">
        <v>30</v>
      </c>
      <c r="AF22" s="48">
        <v>2538</v>
      </c>
      <c r="AG22" s="157" t="s">
        <v>63</v>
      </c>
      <c r="AH22" s="90">
        <v>29</v>
      </c>
    </row>
    <row r="23" spans="1:34" ht="15.6" customHeight="1" x14ac:dyDescent="0.2">
      <c r="A23" s="84" t="s">
        <v>148</v>
      </c>
      <c r="B23" s="143">
        <v>2.42</v>
      </c>
      <c r="C23" s="136" t="s">
        <v>173</v>
      </c>
      <c r="D23" s="123">
        <v>0.06</v>
      </c>
      <c r="E23" s="137">
        <v>2.4</v>
      </c>
      <c r="F23" s="47" t="s">
        <v>63</v>
      </c>
      <c r="G23" s="137">
        <v>7.0000000000000007E-2</v>
      </c>
      <c r="H23" s="138">
        <v>2.37</v>
      </c>
      <c r="I23" s="47" t="s">
        <v>63</v>
      </c>
      <c r="J23" s="139">
        <v>7.0000000000000007E-2</v>
      </c>
      <c r="K23" s="137">
        <v>2.33</v>
      </c>
      <c r="L23" s="47" t="s">
        <v>63</v>
      </c>
      <c r="M23" s="139">
        <v>0.06</v>
      </c>
      <c r="N23" s="137">
        <v>2.41</v>
      </c>
      <c r="O23" s="47" t="s">
        <v>63</v>
      </c>
      <c r="P23" s="139">
        <v>0.06</v>
      </c>
      <c r="Q23" s="137">
        <v>2.41</v>
      </c>
      <c r="R23" s="47" t="s">
        <v>63</v>
      </c>
      <c r="S23" s="137">
        <v>0.06</v>
      </c>
      <c r="T23" s="138">
        <v>2.36</v>
      </c>
      <c r="U23" s="47" t="s">
        <v>63</v>
      </c>
      <c r="V23" s="139">
        <v>0.03</v>
      </c>
      <c r="W23" s="137">
        <v>2.39</v>
      </c>
      <c r="X23" s="47" t="s">
        <v>63</v>
      </c>
      <c r="Y23" s="139">
        <v>0.03</v>
      </c>
      <c r="Z23" s="137">
        <v>2.37</v>
      </c>
      <c r="AA23" s="47" t="s">
        <v>63</v>
      </c>
      <c r="AB23" s="139">
        <v>0.03</v>
      </c>
      <c r="AC23" s="137">
        <v>2.39</v>
      </c>
      <c r="AD23" s="47" t="s">
        <v>63</v>
      </c>
      <c r="AE23" s="139">
        <v>0.03</v>
      </c>
      <c r="AF23" s="137">
        <v>2.36</v>
      </c>
      <c r="AG23" s="47" t="s">
        <v>63</v>
      </c>
      <c r="AH23" s="139">
        <v>0.03</v>
      </c>
    </row>
    <row r="24" spans="1:34" ht="15.6" customHeight="1" x14ac:dyDescent="0.2"/>
    <row r="25" spans="1:34" ht="15.6" customHeight="1" x14ac:dyDescent="0.2"/>
  </sheetData>
  <hyperlinks>
    <hyperlink ref="A10" r:id="rId1" xr:uid="{00000000-0004-0000-0900-000000000000}"/>
    <hyperlink ref="A11" r:id="rId2" xr:uid="{00000000-0004-0000-0900-000001000000}"/>
    <hyperlink ref="A12" r:id="rId3" xr:uid="{00000000-0004-0000-0900-000002000000}"/>
  </hyperlinks>
  <pageMargins left="0.7" right="0.7" top="0.75" bottom="0.75" header="0.3" footer="0.3"/>
  <pageSetup paperSize="9" orientation="portrait"/>
  <tableParts count="1">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HO25"/>
  <sheetViews>
    <sheetView showGridLines="0" showZeros="0" workbookViewId="0"/>
  </sheetViews>
  <sheetFormatPr defaultColWidth="10.88671875" defaultRowHeight="15" x14ac:dyDescent="0.2"/>
  <cols>
    <col min="1" max="1" width="55.5546875" customWidth="1"/>
    <col min="2" max="2" width="13.109375" bestFit="1" customWidth="1"/>
    <col min="3" max="3" width="8.21875" bestFit="1" customWidth="1"/>
    <col min="4" max="4" width="9.44140625" bestFit="1" customWidth="1"/>
    <col min="5" max="5" width="13.109375" bestFit="1" customWidth="1"/>
    <col min="6" max="6" width="8.21875" bestFit="1" customWidth="1"/>
    <col min="7" max="7" width="9.44140625" bestFit="1" customWidth="1"/>
    <col min="8" max="8" width="13.109375" bestFit="1" customWidth="1"/>
    <col min="9" max="9" width="8.21875" bestFit="1" customWidth="1"/>
    <col min="10" max="10" width="9.44140625" bestFit="1" customWidth="1"/>
    <col min="11" max="11" width="13.109375" bestFit="1" customWidth="1"/>
    <col min="12" max="12" width="8.21875" bestFit="1" customWidth="1"/>
    <col min="13" max="13" width="9.44140625" bestFit="1" customWidth="1"/>
    <col min="14" max="14" width="13.109375" bestFit="1" customWidth="1"/>
    <col min="15" max="15" width="8.21875" bestFit="1" customWidth="1"/>
    <col min="16" max="16" width="9.44140625" bestFit="1" customWidth="1"/>
    <col min="17" max="17" width="13.109375" bestFit="1" customWidth="1"/>
    <col min="18" max="18" width="8.21875" bestFit="1" customWidth="1"/>
    <col min="19" max="19" width="9.44140625" bestFit="1" customWidth="1"/>
    <col min="20" max="20" width="13.109375" bestFit="1" customWidth="1"/>
    <col min="21" max="21" width="8.21875" bestFit="1" customWidth="1"/>
    <col min="22" max="22" width="9.44140625" bestFit="1" customWidth="1"/>
    <col min="23" max="23" width="13.109375" bestFit="1" customWidth="1"/>
    <col min="24" max="24" width="8.21875" bestFit="1" customWidth="1"/>
    <col min="25" max="25" width="9.44140625" bestFit="1" customWidth="1"/>
    <col min="26" max="26" width="13.109375" bestFit="1" customWidth="1"/>
    <col min="27" max="27" width="8.21875" bestFit="1" customWidth="1"/>
    <col min="28" max="28" width="9.44140625" bestFit="1" customWidth="1"/>
    <col min="29" max="29" width="13.109375" bestFit="1" customWidth="1"/>
    <col min="30" max="30" width="8.21875" bestFit="1" customWidth="1"/>
    <col min="31" max="31" width="9.44140625" bestFit="1" customWidth="1"/>
    <col min="32" max="32" width="13.109375" bestFit="1" customWidth="1"/>
    <col min="33" max="33" width="8.21875" bestFit="1" customWidth="1"/>
    <col min="34" max="34" width="9.44140625" bestFit="1" customWidth="1"/>
  </cols>
  <sheetData>
    <row r="1" spans="1:223" ht="19.899999999999999" customHeight="1" x14ac:dyDescent="0.3">
      <c r="A1" s="193" t="s">
        <v>0</v>
      </c>
    </row>
    <row r="2" spans="1:223" ht="31.15" customHeight="1" x14ac:dyDescent="0.2">
      <c r="A2" s="194" t="s">
        <v>159</v>
      </c>
    </row>
    <row r="3" spans="1:223" ht="15.4" customHeight="1" x14ac:dyDescent="0.2">
      <c r="A3" s="101" t="s">
        <v>160</v>
      </c>
    </row>
    <row r="4" spans="1:223" ht="15.4" customHeight="1" x14ac:dyDescent="0.2">
      <c r="A4" s="101" t="s">
        <v>98</v>
      </c>
    </row>
    <row r="5" spans="1:223" ht="15.6" customHeight="1" x14ac:dyDescent="0.2">
      <c r="A5" s="101" t="s">
        <v>99</v>
      </c>
    </row>
    <row r="6" spans="1:223" ht="15.6" customHeight="1" x14ac:dyDescent="0.2">
      <c r="A6" s="101" t="s">
        <v>179</v>
      </c>
    </row>
    <row r="7" spans="1:223" ht="15.6" customHeight="1" x14ac:dyDescent="0.2">
      <c r="A7" s="101" t="s">
        <v>180</v>
      </c>
    </row>
    <row r="8" spans="1:223" ht="15.4" customHeight="1" x14ac:dyDescent="0.25">
      <c r="A8" s="101" t="s">
        <v>181</v>
      </c>
      <c r="B8" s="81"/>
      <c r="C8" s="81"/>
      <c r="D8" s="81"/>
      <c r="E8" s="81"/>
      <c r="F8" s="81"/>
      <c r="G8" s="81"/>
      <c r="H8" s="81"/>
      <c r="I8" s="81"/>
      <c r="J8" s="81"/>
      <c r="K8" s="81"/>
      <c r="L8" s="81"/>
      <c r="M8" s="81"/>
      <c r="N8" s="81"/>
      <c r="O8" s="81"/>
      <c r="P8" s="81"/>
      <c r="Q8" s="81"/>
      <c r="R8" s="81"/>
      <c r="S8" s="81"/>
      <c r="T8" s="81"/>
      <c r="U8" s="81"/>
      <c r="V8" s="81"/>
      <c r="W8" s="82"/>
      <c r="X8" s="82"/>
      <c r="Y8" s="82"/>
      <c r="Z8" s="82"/>
      <c r="AA8" s="82"/>
      <c r="AB8" s="82"/>
      <c r="AC8" s="82"/>
      <c r="AD8" s="82"/>
      <c r="AE8" s="82"/>
      <c r="AF8" s="82"/>
      <c r="AG8" s="82"/>
      <c r="AH8" s="82"/>
      <c r="AI8" s="82"/>
      <c r="AJ8" s="82"/>
      <c r="AK8" s="82"/>
      <c r="AL8" s="82"/>
      <c r="AM8" s="82"/>
      <c r="AN8" s="82"/>
      <c r="AO8" s="82"/>
      <c r="AP8" s="82"/>
      <c r="AQ8" s="82"/>
      <c r="AR8" s="82"/>
      <c r="AS8" s="82"/>
      <c r="AT8" s="82"/>
      <c r="AU8" s="82"/>
      <c r="AV8" s="82"/>
      <c r="AW8" s="82"/>
      <c r="AX8" s="82"/>
      <c r="AY8" s="82"/>
      <c r="AZ8" s="82"/>
      <c r="BA8" s="82"/>
      <c r="BB8" s="82"/>
      <c r="BC8" s="82"/>
      <c r="BD8" s="82"/>
      <c r="BE8" s="82"/>
      <c r="BF8" s="82"/>
      <c r="BG8" s="82"/>
      <c r="BH8" s="82"/>
      <c r="BI8" s="82"/>
      <c r="BJ8" s="82"/>
      <c r="BK8" s="82"/>
      <c r="BL8" s="82"/>
      <c r="BM8" s="82"/>
      <c r="BN8" s="82"/>
      <c r="BO8" s="82"/>
      <c r="BP8" s="82"/>
      <c r="BQ8" s="82"/>
      <c r="BR8" s="82"/>
      <c r="BS8" s="82"/>
      <c r="BT8" s="82"/>
      <c r="BU8" s="82"/>
      <c r="BV8" s="82"/>
      <c r="BW8" s="82"/>
      <c r="BX8" s="82"/>
      <c r="BY8" s="82"/>
      <c r="BZ8" s="82"/>
      <c r="CA8" s="82"/>
      <c r="CB8" s="82"/>
      <c r="CC8" s="82"/>
      <c r="CD8" s="82"/>
      <c r="CE8" s="82"/>
      <c r="CF8" s="82"/>
      <c r="CG8" s="82"/>
      <c r="CH8" s="82"/>
      <c r="CI8" s="82"/>
      <c r="CJ8" s="82"/>
      <c r="CK8" s="82"/>
      <c r="CL8" s="82"/>
      <c r="CM8" s="82"/>
      <c r="CN8" s="82"/>
      <c r="CO8" s="82"/>
      <c r="CP8" s="82"/>
      <c r="CQ8" s="82"/>
      <c r="CR8" s="82"/>
      <c r="CS8" s="82"/>
      <c r="CT8" s="82"/>
      <c r="CU8" s="82"/>
      <c r="CV8" s="82"/>
      <c r="CW8" s="82"/>
      <c r="CX8" s="82"/>
      <c r="CY8" s="82"/>
      <c r="CZ8" s="82"/>
      <c r="DA8" s="82"/>
      <c r="DB8" s="82"/>
      <c r="DC8" s="82"/>
      <c r="DD8" s="82"/>
      <c r="DE8" s="82"/>
      <c r="DF8" s="82"/>
      <c r="DG8" s="82"/>
      <c r="DH8" s="82"/>
      <c r="DI8" s="82"/>
      <c r="DJ8" s="82"/>
      <c r="DK8" s="82"/>
      <c r="DL8" s="82"/>
      <c r="DM8" s="82"/>
      <c r="DN8" s="82"/>
      <c r="DO8" s="82"/>
      <c r="DP8" s="82"/>
      <c r="DQ8" s="82"/>
      <c r="DR8" s="82"/>
      <c r="DS8" s="82"/>
      <c r="DT8" s="82"/>
      <c r="DU8" s="82"/>
      <c r="DV8" s="82"/>
      <c r="DW8" s="82"/>
      <c r="DX8" s="82"/>
      <c r="DY8" s="82"/>
      <c r="DZ8" s="82"/>
      <c r="EA8" s="82"/>
      <c r="EB8" s="82"/>
      <c r="EC8" s="82"/>
      <c r="ED8" s="82"/>
      <c r="EE8" s="82"/>
      <c r="EF8" s="82"/>
      <c r="EG8" s="82"/>
      <c r="EH8" s="82"/>
      <c r="EI8" s="82"/>
      <c r="EJ8" s="82"/>
      <c r="EK8" s="82"/>
      <c r="EL8" s="82"/>
      <c r="EM8" s="82"/>
      <c r="EN8" s="82"/>
      <c r="EO8" s="82"/>
      <c r="EP8" s="82"/>
      <c r="EQ8" s="82"/>
      <c r="ER8" s="82"/>
      <c r="ES8" s="82"/>
      <c r="ET8" s="82"/>
      <c r="EU8" s="82"/>
      <c r="EV8" s="82"/>
      <c r="EW8" s="82"/>
      <c r="EX8" s="82"/>
      <c r="EY8" s="82"/>
      <c r="EZ8" s="82"/>
      <c r="FA8" s="82"/>
      <c r="FB8" s="82"/>
      <c r="FC8" s="82"/>
      <c r="FD8" s="82"/>
      <c r="FE8" s="82"/>
      <c r="FF8" s="82"/>
      <c r="FG8" s="82"/>
      <c r="FH8" s="82"/>
      <c r="FI8" s="82"/>
      <c r="FJ8" s="82"/>
      <c r="FK8" s="82"/>
      <c r="FL8" s="82"/>
      <c r="FM8" s="82"/>
      <c r="FN8" s="82"/>
      <c r="FO8" s="82"/>
      <c r="FP8" s="82"/>
      <c r="FQ8" s="82"/>
      <c r="FR8" s="82"/>
      <c r="FS8" s="82"/>
      <c r="FT8" s="82"/>
      <c r="FU8" s="82"/>
      <c r="FV8" s="82"/>
      <c r="FW8" s="82"/>
      <c r="FX8" s="82"/>
      <c r="FY8" s="82"/>
      <c r="FZ8" s="82"/>
      <c r="GA8" s="82"/>
      <c r="GB8" s="82"/>
      <c r="GC8" s="82"/>
      <c r="GD8" s="82"/>
      <c r="GE8" s="82"/>
      <c r="GF8" s="82"/>
      <c r="GG8" s="82"/>
      <c r="GH8" s="82"/>
      <c r="GI8" s="82"/>
      <c r="GJ8" s="82"/>
      <c r="GK8" s="82"/>
      <c r="GL8" s="82"/>
      <c r="GM8" s="82"/>
      <c r="GN8" s="82"/>
      <c r="GO8" s="82"/>
      <c r="GP8" s="82"/>
      <c r="GQ8" s="82"/>
      <c r="GR8" s="82"/>
      <c r="GS8" s="82"/>
      <c r="GT8" s="82"/>
      <c r="GU8" s="82"/>
      <c r="GV8" s="82"/>
      <c r="GW8" s="82"/>
      <c r="GX8" s="82"/>
      <c r="GY8" s="82"/>
      <c r="GZ8" s="82"/>
      <c r="HA8" s="82"/>
      <c r="HB8" s="82"/>
      <c r="HC8" s="82"/>
      <c r="HD8" s="82"/>
      <c r="HE8" s="82"/>
      <c r="HF8" s="82"/>
      <c r="HG8" s="82"/>
      <c r="HH8" s="82"/>
      <c r="HI8" s="82"/>
      <c r="HJ8" s="82"/>
      <c r="HK8" s="82"/>
      <c r="HL8" s="82"/>
      <c r="HM8" s="82"/>
      <c r="HN8" s="82"/>
      <c r="HO8" s="82"/>
    </row>
    <row r="9" spans="1:223" ht="31.15" customHeight="1" x14ac:dyDescent="0.2">
      <c r="A9" s="65" t="s">
        <v>100</v>
      </c>
    </row>
    <row r="10" spans="1:223" ht="15" customHeight="1" x14ac:dyDescent="0.2">
      <c r="A10" s="113" t="s">
        <v>101</v>
      </c>
    </row>
    <row r="11" spans="1:223" ht="15.4" customHeight="1" x14ac:dyDescent="0.2">
      <c r="A11" s="113" t="s">
        <v>102</v>
      </c>
    </row>
    <row r="12" spans="1:223" ht="31.15" customHeight="1" x14ac:dyDescent="0.2">
      <c r="A12" s="114" t="s">
        <v>103</v>
      </c>
    </row>
    <row r="13" spans="1:223" ht="31.15" customHeight="1" x14ac:dyDescent="0.2">
      <c r="A13" s="71" t="s">
        <v>104</v>
      </c>
      <c r="B13" s="77" t="s">
        <v>105</v>
      </c>
      <c r="C13" s="70" t="s">
        <v>106</v>
      </c>
      <c r="D13" s="74" t="s">
        <v>107</v>
      </c>
      <c r="E13" s="70" t="s">
        <v>108</v>
      </c>
      <c r="F13" s="70" t="s">
        <v>109</v>
      </c>
      <c r="G13" s="70" t="s">
        <v>110</v>
      </c>
      <c r="H13" s="77" t="s">
        <v>111</v>
      </c>
      <c r="I13" s="70" t="s">
        <v>112</v>
      </c>
      <c r="J13" s="74" t="s">
        <v>113</v>
      </c>
      <c r="K13" s="70" t="s">
        <v>114</v>
      </c>
      <c r="L13" s="70" t="s">
        <v>115</v>
      </c>
      <c r="M13" s="74" t="s">
        <v>116</v>
      </c>
      <c r="N13" s="77" t="s">
        <v>117</v>
      </c>
      <c r="O13" s="70" t="s">
        <v>118</v>
      </c>
      <c r="P13" s="74" t="s">
        <v>119</v>
      </c>
      <c r="Q13" s="77" t="s">
        <v>120</v>
      </c>
      <c r="R13" s="70" t="s">
        <v>121</v>
      </c>
      <c r="S13" s="70" t="s">
        <v>122</v>
      </c>
      <c r="T13" s="77" t="s">
        <v>123</v>
      </c>
      <c r="U13" s="70" t="s">
        <v>124</v>
      </c>
      <c r="V13" s="74" t="s">
        <v>125</v>
      </c>
      <c r="W13" s="70" t="s">
        <v>126</v>
      </c>
      <c r="X13" s="70" t="s">
        <v>127</v>
      </c>
      <c r="Y13" s="74" t="s">
        <v>128</v>
      </c>
      <c r="Z13" s="70" t="s">
        <v>129</v>
      </c>
      <c r="AA13" s="70" t="s">
        <v>130</v>
      </c>
      <c r="AB13" s="74" t="s">
        <v>131</v>
      </c>
      <c r="AC13" s="70" t="s">
        <v>132</v>
      </c>
      <c r="AD13" s="70" t="s">
        <v>133</v>
      </c>
      <c r="AE13" s="74" t="s">
        <v>134</v>
      </c>
      <c r="AF13" s="70" t="s">
        <v>135</v>
      </c>
      <c r="AG13" s="70" t="s">
        <v>136</v>
      </c>
      <c r="AH13" s="74" t="s">
        <v>137</v>
      </c>
    </row>
    <row r="14" spans="1:223" ht="15.6" customHeight="1" x14ac:dyDescent="0.2">
      <c r="A14" s="72" t="s">
        <v>138</v>
      </c>
      <c r="B14" s="146">
        <v>1076</v>
      </c>
      <c r="C14" s="134" t="s">
        <v>173</v>
      </c>
      <c r="D14" s="127">
        <v>99</v>
      </c>
      <c r="E14" s="79">
        <v>915</v>
      </c>
      <c r="F14" s="78" t="s">
        <v>66</v>
      </c>
      <c r="G14" s="80">
        <v>110</v>
      </c>
      <c r="H14" s="79">
        <v>985</v>
      </c>
      <c r="I14" s="78" t="s">
        <v>66</v>
      </c>
      <c r="J14" s="80">
        <v>140</v>
      </c>
      <c r="K14" s="89">
        <v>909</v>
      </c>
      <c r="L14" s="78" t="s">
        <v>63</v>
      </c>
      <c r="M14" s="80">
        <v>85</v>
      </c>
      <c r="N14" s="79">
        <v>921</v>
      </c>
      <c r="O14" s="78" t="s">
        <v>66</v>
      </c>
      <c r="P14" s="80">
        <v>92</v>
      </c>
      <c r="Q14" s="89">
        <v>793</v>
      </c>
      <c r="R14" s="78" t="s">
        <v>63</v>
      </c>
      <c r="S14" s="80">
        <v>76</v>
      </c>
      <c r="T14" s="89">
        <v>798</v>
      </c>
      <c r="U14" s="78" t="s">
        <v>63</v>
      </c>
      <c r="V14" s="80">
        <v>57</v>
      </c>
      <c r="W14" s="89">
        <v>847</v>
      </c>
      <c r="X14" s="78" t="s">
        <v>63</v>
      </c>
      <c r="Y14" s="80">
        <v>57</v>
      </c>
      <c r="Z14" s="89">
        <v>821</v>
      </c>
      <c r="AA14" s="78" t="s">
        <v>63</v>
      </c>
      <c r="AB14" s="80">
        <v>54</v>
      </c>
      <c r="AC14" s="89">
        <v>840</v>
      </c>
      <c r="AD14" s="78" t="s">
        <v>63</v>
      </c>
      <c r="AE14" s="80">
        <v>53</v>
      </c>
      <c r="AF14" s="89">
        <v>838</v>
      </c>
      <c r="AG14" s="78" t="s">
        <v>63</v>
      </c>
      <c r="AH14" s="80">
        <v>50</v>
      </c>
    </row>
    <row r="15" spans="1:223" ht="15.6" customHeight="1" x14ac:dyDescent="0.2">
      <c r="A15" s="72" t="s">
        <v>139</v>
      </c>
      <c r="B15" s="144">
        <v>1148</v>
      </c>
      <c r="C15" s="134" t="s">
        <v>173</v>
      </c>
      <c r="D15" s="155">
        <v>83</v>
      </c>
      <c r="E15" s="51">
        <v>1158</v>
      </c>
      <c r="F15" s="75" t="s">
        <v>63</v>
      </c>
      <c r="G15" s="60">
        <v>92</v>
      </c>
      <c r="H15" s="57">
        <v>1013</v>
      </c>
      <c r="I15" s="75" t="s">
        <v>66</v>
      </c>
      <c r="J15" s="60">
        <v>105</v>
      </c>
      <c r="K15" s="51">
        <v>1058</v>
      </c>
      <c r="L15" s="75" t="s">
        <v>63</v>
      </c>
      <c r="M15" s="60">
        <v>72</v>
      </c>
      <c r="N15" s="51">
        <v>1106</v>
      </c>
      <c r="O15" s="75" t="s">
        <v>63</v>
      </c>
      <c r="P15" s="60">
        <v>81</v>
      </c>
      <c r="Q15" s="51">
        <v>976</v>
      </c>
      <c r="R15" s="75" t="s">
        <v>63</v>
      </c>
      <c r="S15" s="60">
        <v>73</v>
      </c>
      <c r="T15" s="51">
        <v>983</v>
      </c>
      <c r="U15" s="75" t="s">
        <v>63</v>
      </c>
      <c r="V15" s="60">
        <v>54</v>
      </c>
      <c r="W15" s="51">
        <v>957</v>
      </c>
      <c r="X15" s="75" t="s">
        <v>63</v>
      </c>
      <c r="Y15" s="60">
        <v>52</v>
      </c>
      <c r="Z15" s="51">
        <v>883</v>
      </c>
      <c r="AA15" s="75" t="s">
        <v>63</v>
      </c>
      <c r="AB15" s="60">
        <v>49</v>
      </c>
      <c r="AC15" s="51">
        <v>913</v>
      </c>
      <c r="AD15" s="75" t="s">
        <v>63</v>
      </c>
      <c r="AE15" s="60">
        <v>49</v>
      </c>
      <c r="AF15" s="51">
        <v>948</v>
      </c>
      <c r="AG15" s="75" t="s">
        <v>63</v>
      </c>
      <c r="AH15" s="60">
        <v>45</v>
      </c>
    </row>
    <row r="16" spans="1:223" ht="15.6" customHeight="1" x14ac:dyDescent="0.2">
      <c r="A16" s="72" t="s">
        <v>140</v>
      </c>
      <c r="B16" s="144">
        <v>611</v>
      </c>
      <c r="C16" s="134" t="s">
        <v>173</v>
      </c>
      <c r="D16" s="155">
        <v>54</v>
      </c>
      <c r="E16" s="57">
        <v>641</v>
      </c>
      <c r="F16" s="75" t="s">
        <v>66</v>
      </c>
      <c r="G16" s="60">
        <v>71</v>
      </c>
      <c r="H16" s="57">
        <v>642</v>
      </c>
      <c r="I16" s="75" t="s">
        <v>66</v>
      </c>
      <c r="J16" s="60">
        <v>80</v>
      </c>
      <c r="K16" s="51">
        <v>587</v>
      </c>
      <c r="L16" s="75" t="s">
        <v>63</v>
      </c>
      <c r="M16" s="60">
        <v>55</v>
      </c>
      <c r="N16" s="51">
        <v>629</v>
      </c>
      <c r="O16" s="75" t="s">
        <v>63</v>
      </c>
      <c r="P16" s="60">
        <v>49</v>
      </c>
      <c r="Q16" s="51">
        <v>613</v>
      </c>
      <c r="R16" s="75" t="s">
        <v>63</v>
      </c>
      <c r="S16" s="60">
        <v>52</v>
      </c>
      <c r="T16" s="51">
        <v>607</v>
      </c>
      <c r="U16" s="75" t="s">
        <v>63</v>
      </c>
      <c r="V16" s="60">
        <v>42</v>
      </c>
      <c r="W16" s="51">
        <v>600</v>
      </c>
      <c r="X16" s="75" t="s">
        <v>63</v>
      </c>
      <c r="Y16" s="60">
        <v>40</v>
      </c>
      <c r="Z16" s="51">
        <v>604</v>
      </c>
      <c r="AA16" s="75" t="s">
        <v>63</v>
      </c>
      <c r="AB16" s="60">
        <v>40</v>
      </c>
      <c r="AC16" s="51">
        <v>580</v>
      </c>
      <c r="AD16" s="75" t="s">
        <v>63</v>
      </c>
      <c r="AE16" s="60">
        <v>39</v>
      </c>
      <c r="AF16" s="51">
        <v>597</v>
      </c>
      <c r="AG16" s="75" t="s">
        <v>63</v>
      </c>
      <c r="AH16" s="60">
        <v>39</v>
      </c>
    </row>
    <row r="17" spans="1:34" ht="15.6" customHeight="1" x14ac:dyDescent="0.2">
      <c r="A17" s="72" t="s">
        <v>141</v>
      </c>
      <c r="B17" s="144">
        <v>551</v>
      </c>
      <c r="C17" s="134" t="s">
        <v>173</v>
      </c>
      <c r="D17" s="155">
        <v>50</v>
      </c>
      <c r="E17" s="57">
        <v>512</v>
      </c>
      <c r="F17" s="75" t="s">
        <v>66</v>
      </c>
      <c r="G17" s="60">
        <v>58</v>
      </c>
      <c r="H17" s="57">
        <v>596</v>
      </c>
      <c r="I17" s="75" t="s">
        <v>66</v>
      </c>
      <c r="J17" s="60">
        <v>75</v>
      </c>
      <c r="K17" s="51">
        <v>636</v>
      </c>
      <c r="L17" s="75" t="s">
        <v>63</v>
      </c>
      <c r="M17" s="60">
        <v>50</v>
      </c>
      <c r="N17" s="51">
        <v>624</v>
      </c>
      <c r="O17" s="75" t="s">
        <v>63</v>
      </c>
      <c r="P17" s="60">
        <v>47</v>
      </c>
      <c r="Q17" s="51">
        <v>655</v>
      </c>
      <c r="R17" s="75" t="s">
        <v>63</v>
      </c>
      <c r="S17" s="60">
        <v>51</v>
      </c>
      <c r="T17" s="51">
        <v>577</v>
      </c>
      <c r="U17" s="75" t="s">
        <v>63</v>
      </c>
      <c r="V17" s="60">
        <v>41</v>
      </c>
      <c r="W17" s="51">
        <v>568</v>
      </c>
      <c r="X17" s="75" t="s">
        <v>63</v>
      </c>
      <c r="Y17" s="60">
        <v>37</v>
      </c>
      <c r="Z17" s="51">
        <v>567</v>
      </c>
      <c r="AA17" s="75" t="s">
        <v>63</v>
      </c>
      <c r="AB17" s="60">
        <v>37</v>
      </c>
      <c r="AC17" s="51">
        <v>551</v>
      </c>
      <c r="AD17" s="75" t="s">
        <v>63</v>
      </c>
      <c r="AE17" s="60">
        <v>35</v>
      </c>
      <c r="AF17" s="51">
        <v>519</v>
      </c>
      <c r="AG17" s="75" t="s">
        <v>63</v>
      </c>
      <c r="AH17" s="60">
        <v>33</v>
      </c>
    </row>
    <row r="18" spans="1:34" ht="15.6" customHeight="1" x14ac:dyDescent="0.2">
      <c r="A18" s="72" t="s">
        <v>142</v>
      </c>
      <c r="B18" s="124">
        <v>193</v>
      </c>
      <c r="C18" s="134" t="s">
        <v>172</v>
      </c>
      <c r="D18" s="155">
        <v>36</v>
      </c>
      <c r="E18" s="57">
        <v>207</v>
      </c>
      <c r="F18" s="75" t="s">
        <v>66</v>
      </c>
      <c r="G18" s="60">
        <v>39</v>
      </c>
      <c r="H18" s="57">
        <v>242</v>
      </c>
      <c r="I18" s="75" t="s">
        <v>66</v>
      </c>
      <c r="J18" s="60">
        <v>46</v>
      </c>
      <c r="K18" s="57">
        <v>200</v>
      </c>
      <c r="L18" s="75" t="s">
        <v>66</v>
      </c>
      <c r="M18" s="60">
        <v>35</v>
      </c>
      <c r="N18" s="57">
        <v>213</v>
      </c>
      <c r="O18" s="75" t="s">
        <v>66</v>
      </c>
      <c r="P18" s="60">
        <v>37</v>
      </c>
      <c r="Q18" s="57">
        <v>217</v>
      </c>
      <c r="R18" s="75" t="s">
        <v>66</v>
      </c>
      <c r="S18" s="60">
        <v>31</v>
      </c>
      <c r="T18" s="57">
        <v>238</v>
      </c>
      <c r="U18" s="75" t="s">
        <v>66</v>
      </c>
      <c r="V18" s="60">
        <v>27</v>
      </c>
      <c r="W18" s="57">
        <v>238</v>
      </c>
      <c r="X18" s="75" t="s">
        <v>66</v>
      </c>
      <c r="Y18" s="60">
        <v>25</v>
      </c>
      <c r="Z18" s="57">
        <v>238</v>
      </c>
      <c r="AA18" s="75" t="s">
        <v>66</v>
      </c>
      <c r="AB18" s="60">
        <v>27</v>
      </c>
      <c r="AC18" s="57">
        <v>242</v>
      </c>
      <c r="AD18" s="75" t="s">
        <v>66</v>
      </c>
      <c r="AE18" s="60">
        <v>25</v>
      </c>
      <c r="AF18" s="57">
        <v>209</v>
      </c>
      <c r="AG18" s="75" t="s">
        <v>66</v>
      </c>
      <c r="AH18" s="60">
        <v>22</v>
      </c>
    </row>
    <row r="19" spans="1:34" ht="15.6" customHeight="1" x14ac:dyDescent="0.2">
      <c r="A19" s="72" t="s">
        <v>143</v>
      </c>
      <c r="B19" s="129">
        <v>105</v>
      </c>
      <c r="C19" s="134" t="s">
        <v>174</v>
      </c>
      <c r="D19" s="155">
        <v>27</v>
      </c>
      <c r="E19" s="62">
        <v>94</v>
      </c>
      <c r="F19" s="75" t="s">
        <v>69</v>
      </c>
      <c r="G19" s="60">
        <v>26</v>
      </c>
      <c r="H19" s="62">
        <v>101</v>
      </c>
      <c r="I19" s="75" t="s">
        <v>69</v>
      </c>
      <c r="J19" s="60">
        <v>33</v>
      </c>
      <c r="K19" s="62">
        <v>122</v>
      </c>
      <c r="L19" s="75" t="s">
        <v>69</v>
      </c>
      <c r="M19" s="60">
        <v>29</v>
      </c>
      <c r="N19" s="62">
        <v>80</v>
      </c>
      <c r="O19" s="75" t="s">
        <v>69</v>
      </c>
      <c r="P19" s="60">
        <v>22</v>
      </c>
      <c r="Q19" s="62">
        <v>118</v>
      </c>
      <c r="R19" s="75" t="s">
        <v>69</v>
      </c>
      <c r="S19" s="60">
        <v>27</v>
      </c>
      <c r="T19" s="57">
        <v>135</v>
      </c>
      <c r="U19" s="75" t="s">
        <v>66</v>
      </c>
      <c r="V19" s="60">
        <v>20</v>
      </c>
      <c r="W19" s="62">
        <v>126</v>
      </c>
      <c r="X19" s="75" t="s">
        <v>69</v>
      </c>
      <c r="Y19" s="60">
        <v>15</v>
      </c>
      <c r="Z19" s="57">
        <v>134</v>
      </c>
      <c r="AA19" s="75" t="s">
        <v>66</v>
      </c>
      <c r="AB19" s="60">
        <v>16</v>
      </c>
      <c r="AC19" s="57">
        <v>132</v>
      </c>
      <c r="AD19" s="75" t="s">
        <v>66</v>
      </c>
      <c r="AE19" s="60">
        <v>15</v>
      </c>
      <c r="AF19" s="57">
        <v>142</v>
      </c>
      <c r="AG19" s="75" t="s">
        <v>66</v>
      </c>
      <c r="AH19" s="60">
        <v>17</v>
      </c>
    </row>
    <row r="20" spans="1:34" ht="15.6" customHeight="1" x14ac:dyDescent="0.2">
      <c r="A20" s="66" t="s">
        <v>144</v>
      </c>
      <c r="B20" s="129">
        <v>79</v>
      </c>
      <c r="C20" s="134" t="s">
        <v>174</v>
      </c>
      <c r="D20" s="155">
        <v>25</v>
      </c>
      <c r="E20" s="62">
        <v>64</v>
      </c>
      <c r="F20" s="75" t="s">
        <v>69</v>
      </c>
      <c r="G20" s="60">
        <v>24</v>
      </c>
      <c r="H20" s="58">
        <v>65</v>
      </c>
      <c r="I20" s="75" t="s">
        <v>72</v>
      </c>
      <c r="J20" s="60">
        <v>27</v>
      </c>
      <c r="K20" s="62">
        <v>75</v>
      </c>
      <c r="L20" s="75" t="s">
        <v>69</v>
      </c>
      <c r="M20" s="60">
        <v>21</v>
      </c>
      <c r="N20" s="62">
        <v>51</v>
      </c>
      <c r="O20" s="75" t="s">
        <v>69</v>
      </c>
      <c r="P20" s="60">
        <v>17</v>
      </c>
      <c r="Q20" s="62">
        <v>85</v>
      </c>
      <c r="R20" s="75" t="s">
        <v>69</v>
      </c>
      <c r="S20" s="60">
        <v>24</v>
      </c>
      <c r="T20" s="62">
        <v>89</v>
      </c>
      <c r="U20" s="75" t="s">
        <v>69</v>
      </c>
      <c r="V20" s="60">
        <v>18</v>
      </c>
      <c r="W20" s="62">
        <v>64</v>
      </c>
      <c r="X20" s="75" t="s">
        <v>69</v>
      </c>
      <c r="Y20" s="60">
        <v>15</v>
      </c>
      <c r="Z20" s="57">
        <v>83</v>
      </c>
      <c r="AA20" s="75" t="s">
        <v>66</v>
      </c>
      <c r="AB20" s="60">
        <v>16</v>
      </c>
      <c r="AC20" s="57">
        <v>76</v>
      </c>
      <c r="AD20" s="75" t="s">
        <v>66</v>
      </c>
      <c r="AE20" s="60">
        <v>15</v>
      </c>
      <c r="AF20" s="57">
        <v>84</v>
      </c>
      <c r="AG20" s="75" t="s">
        <v>66</v>
      </c>
      <c r="AH20" s="60">
        <v>14</v>
      </c>
    </row>
    <row r="21" spans="1:34" ht="15.6" customHeight="1" x14ac:dyDescent="0.2">
      <c r="A21" s="67" t="s">
        <v>145</v>
      </c>
      <c r="B21" s="130">
        <v>26</v>
      </c>
      <c r="C21" s="134" t="s">
        <v>175</v>
      </c>
      <c r="D21" s="155">
        <v>13</v>
      </c>
      <c r="E21" s="160">
        <v>30</v>
      </c>
      <c r="F21" s="157" t="s">
        <v>72</v>
      </c>
      <c r="G21" s="90">
        <v>18</v>
      </c>
      <c r="H21" s="160">
        <v>36</v>
      </c>
      <c r="I21" s="157" t="s">
        <v>72</v>
      </c>
      <c r="J21" s="90">
        <v>22</v>
      </c>
      <c r="K21" s="160">
        <v>47</v>
      </c>
      <c r="L21" s="157" t="s">
        <v>72</v>
      </c>
      <c r="M21" s="90">
        <v>20</v>
      </c>
      <c r="N21" s="160">
        <v>30</v>
      </c>
      <c r="O21" s="157" t="s">
        <v>72</v>
      </c>
      <c r="P21" s="90">
        <v>14</v>
      </c>
      <c r="Q21" s="160">
        <v>33</v>
      </c>
      <c r="R21" s="157" t="s">
        <v>72</v>
      </c>
      <c r="S21" s="90">
        <v>17</v>
      </c>
      <c r="T21" s="97">
        <v>47</v>
      </c>
      <c r="U21" s="157" t="s">
        <v>69</v>
      </c>
      <c r="V21" s="90">
        <v>13</v>
      </c>
      <c r="W21" s="97">
        <v>62</v>
      </c>
      <c r="X21" s="157" t="s">
        <v>69</v>
      </c>
      <c r="Y21" s="90">
        <v>14</v>
      </c>
      <c r="Z21" s="97">
        <v>52</v>
      </c>
      <c r="AA21" s="157" t="s">
        <v>69</v>
      </c>
      <c r="AB21" s="90">
        <v>12</v>
      </c>
      <c r="AC21" s="97">
        <v>56</v>
      </c>
      <c r="AD21" s="157" t="s">
        <v>69</v>
      </c>
      <c r="AE21" s="90">
        <v>13</v>
      </c>
      <c r="AF21" s="97">
        <v>57</v>
      </c>
      <c r="AG21" s="157" t="s">
        <v>69</v>
      </c>
      <c r="AH21" s="90">
        <v>12</v>
      </c>
    </row>
    <row r="22" spans="1:34" ht="15.6" customHeight="1" x14ac:dyDescent="0.2">
      <c r="A22" s="98" t="s">
        <v>147</v>
      </c>
      <c r="B22" s="145">
        <v>3683</v>
      </c>
      <c r="C22" s="135" t="s">
        <v>173</v>
      </c>
      <c r="D22" s="132">
        <v>96</v>
      </c>
      <c r="E22" s="48">
        <v>3527</v>
      </c>
      <c r="F22" s="157" t="s">
        <v>63</v>
      </c>
      <c r="G22" s="48">
        <v>111</v>
      </c>
      <c r="H22" s="49">
        <v>3577</v>
      </c>
      <c r="I22" s="157" t="s">
        <v>63</v>
      </c>
      <c r="J22" s="90">
        <v>136</v>
      </c>
      <c r="K22" s="48">
        <v>3511</v>
      </c>
      <c r="L22" s="157" t="s">
        <v>63</v>
      </c>
      <c r="M22" s="90">
        <v>87</v>
      </c>
      <c r="N22" s="48">
        <v>3574</v>
      </c>
      <c r="O22" s="157" t="s">
        <v>63</v>
      </c>
      <c r="P22" s="90">
        <v>92</v>
      </c>
      <c r="Q22" s="48">
        <v>3372</v>
      </c>
      <c r="R22" s="157" t="s">
        <v>63</v>
      </c>
      <c r="S22" s="48">
        <v>79</v>
      </c>
      <c r="T22" s="49">
        <v>3338</v>
      </c>
      <c r="U22" s="157" t="s">
        <v>63</v>
      </c>
      <c r="V22" s="90">
        <v>44</v>
      </c>
      <c r="W22" s="48">
        <v>3336</v>
      </c>
      <c r="X22" s="157" t="s">
        <v>63</v>
      </c>
      <c r="Y22" s="90">
        <v>45</v>
      </c>
      <c r="Z22" s="48">
        <v>3247</v>
      </c>
      <c r="AA22" s="157" t="s">
        <v>63</v>
      </c>
      <c r="AB22" s="90">
        <v>44</v>
      </c>
      <c r="AC22" s="48">
        <v>3258</v>
      </c>
      <c r="AD22" s="157" t="s">
        <v>63</v>
      </c>
      <c r="AE22" s="90">
        <v>42</v>
      </c>
      <c r="AF22" s="48">
        <v>3252</v>
      </c>
      <c r="AG22" s="157" t="s">
        <v>63</v>
      </c>
      <c r="AH22" s="90">
        <v>38</v>
      </c>
    </row>
    <row r="23" spans="1:34" ht="15.6" customHeight="1" x14ac:dyDescent="0.2">
      <c r="A23" s="73" t="s">
        <v>148</v>
      </c>
      <c r="B23" s="143">
        <v>2.46</v>
      </c>
      <c r="C23" s="136" t="s">
        <v>173</v>
      </c>
      <c r="D23" s="123">
        <v>7.0000000000000007E-2</v>
      </c>
      <c r="E23" s="137">
        <v>2.5099999999999998</v>
      </c>
      <c r="F23" s="47" t="s">
        <v>63</v>
      </c>
      <c r="G23" s="137">
        <v>0.08</v>
      </c>
      <c r="H23" s="138">
        <v>2.57</v>
      </c>
      <c r="I23" s="47" t="s">
        <v>63</v>
      </c>
      <c r="J23" s="139">
        <v>0.1</v>
      </c>
      <c r="K23" s="137">
        <v>2.6</v>
      </c>
      <c r="L23" s="47" t="s">
        <v>63</v>
      </c>
      <c r="M23" s="139">
        <v>7.0000000000000007E-2</v>
      </c>
      <c r="N23" s="137">
        <v>2.5499999999999998</v>
      </c>
      <c r="O23" s="47" t="s">
        <v>63</v>
      </c>
      <c r="P23" s="139">
        <v>7.0000000000000007E-2</v>
      </c>
      <c r="Q23" s="137">
        <v>2.68</v>
      </c>
      <c r="R23" s="47" t="s">
        <v>63</v>
      </c>
      <c r="S23" s="137">
        <v>0.06</v>
      </c>
      <c r="T23" s="138">
        <v>2.69</v>
      </c>
      <c r="U23" s="47" t="s">
        <v>63</v>
      </c>
      <c r="V23" s="139">
        <v>0.04</v>
      </c>
      <c r="W23" s="137">
        <v>2.66</v>
      </c>
      <c r="X23" s="47" t="s">
        <v>63</v>
      </c>
      <c r="Y23" s="139">
        <v>0.04</v>
      </c>
      <c r="Z23" s="137">
        <v>2.69</v>
      </c>
      <c r="AA23" s="47" t="s">
        <v>63</v>
      </c>
      <c r="AB23" s="139">
        <v>0.04</v>
      </c>
      <c r="AC23" s="137">
        <v>2.67</v>
      </c>
      <c r="AD23" s="47" t="s">
        <v>63</v>
      </c>
      <c r="AE23" s="139">
        <v>0.03</v>
      </c>
      <c r="AF23" s="137">
        <v>2.64</v>
      </c>
      <c r="AG23" s="47" t="s">
        <v>63</v>
      </c>
      <c r="AH23" s="139">
        <v>0.03</v>
      </c>
    </row>
    <row r="25" spans="1:34" ht="15.6" customHeight="1" x14ac:dyDescent="0.2"/>
  </sheetData>
  <hyperlinks>
    <hyperlink ref="A10" r:id="rId1" xr:uid="{00000000-0004-0000-0A00-000000000000}"/>
    <hyperlink ref="A11" r:id="rId2" xr:uid="{00000000-0004-0000-0A00-000001000000}"/>
    <hyperlink ref="A12" r:id="rId3" xr:uid="{00000000-0004-0000-0A00-000002000000}"/>
  </hyperlinks>
  <pageMargins left="0.7" right="0.7" top="0.75" bottom="0.75" header="0.3" footer="0.3"/>
  <pageSetup paperSize="9" orientation="portrait"/>
  <tableParts count="1">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HR25"/>
  <sheetViews>
    <sheetView showGridLines="0" showZeros="0" workbookViewId="0"/>
  </sheetViews>
  <sheetFormatPr defaultColWidth="10.88671875" defaultRowHeight="15" x14ac:dyDescent="0.2"/>
  <cols>
    <col min="1" max="1" width="55.5546875" customWidth="1"/>
    <col min="2" max="2" width="13.109375" bestFit="1" customWidth="1"/>
    <col min="3" max="3" width="8.21875" bestFit="1" customWidth="1"/>
    <col min="4" max="4" width="9.44140625" bestFit="1" customWidth="1"/>
    <col min="5" max="5" width="13.109375" bestFit="1" customWidth="1"/>
    <col min="6" max="6" width="8.21875" bestFit="1" customWidth="1"/>
    <col min="7" max="7" width="9.44140625" bestFit="1" customWidth="1"/>
    <col min="8" max="8" width="13.109375" bestFit="1" customWidth="1"/>
    <col min="9" max="9" width="8.21875" bestFit="1" customWidth="1"/>
    <col min="10" max="10" width="9.44140625" bestFit="1" customWidth="1"/>
    <col min="11" max="11" width="13.109375" bestFit="1" customWidth="1"/>
    <col min="12" max="12" width="8.21875" bestFit="1" customWidth="1"/>
    <col min="13" max="13" width="9.44140625" bestFit="1" customWidth="1"/>
    <col min="14" max="14" width="13.109375" bestFit="1" customWidth="1"/>
    <col min="15" max="15" width="8.21875" bestFit="1" customWidth="1"/>
    <col min="16" max="16" width="9.44140625" bestFit="1" customWidth="1"/>
    <col min="17" max="17" width="13.109375" bestFit="1" customWidth="1"/>
    <col min="18" max="18" width="8.21875" bestFit="1" customWidth="1"/>
    <col min="19" max="19" width="9.44140625" bestFit="1" customWidth="1"/>
    <col min="20" max="20" width="13.109375" bestFit="1" customWidth="1"/>
    <col min="21" max="21" width="8.21875" bestFit="1" customWidth="1"/>
    <col min="22" max="22" width="9.44140625" bestFit="1" customWidth="1"/>
    <col min="23" max="23" width="13.109375" bestFit="1" customWidth="1"/>
    <col min="24" max="24" width="8.21875" bestFit="1" customWidth="1"/>
    <col min="25" max="25" width="9.44140625" bestFit="1" customWidth="1"/>
    <col min="26" max="26" width="13.109375" bestFit="1" customWidth="1"/>
    <col min="27" max="27" width="8.21875" bestFit="1" customWidth="1"/>
    <col min="28" max="28" width="9.44140625" bestFit="1" customWidth="1"/>
    <col min="29" max="29" width="13.109375" bestFit="1" customWidth="1"/>
    <col min="30" max="30" width="8.21875" bestFit="1" customWidth="1"/>
    <col min="31" max="31" width="9.44140625" bestFit="1" customWidth="1"/>
    <col min="32" max="32" width="13.109375" bestFit="1" customWidth="1"/>
    <col min="33" max="33" width="8.21875" bestFit="1" customWidth="1"/>
    <col min="34" max="34" width="9.44140625" bestFit="1" customWidth="1"/>
  </cols>
  <sheetData>
    <row r="1" spans="1:226" ht="19.899999999999999" customHeight="1" x14ac:dyDescent="0.3">
      <c r="A1" s="193" t="s">
        <v>0</v>
      </c>
    </row>
    <row r="2" spans="1:226" ht="31.15" customHeight="1" x14ac:dyDescent="0.2">
      <c r="A2" s="194" t="s">
        <v>161</v>
      </c>
    </row>
    <row r="3" spans="1:226" ht="15.4" customHeight="1" x14ac:dyDescent="0.2">
      <c r="A3" s="101" t="s">
        <v>162</v>
      </c>
    </row>
    <row r="4" spans="1:226" ht="15.4" customHeight="1" x14ac:dyDescent="0.2">
      <c r="A4" s="101" t="s">
        <v>98</v>
      </c>
    </row>
    <row r="5" spans="1:226" ht="15.6" customHeight="1" x14ac:dyDescent="0.2">
      <c r="A5" s="101" t="s">
        <v>99</v>
      </c>
    </row>
    <row r="6" spans="1:226" ht="15.6" customHeight="1" x14ac:dyDescent="0.2">
      <c r="A6" s="101" t="s">
        <v>179</v>
      </c>
    </row>
    <row r="7" spans="1:226" ht="15.6" customHeight="1" x14ac:dyDescent="0.2">
      <c r="A7" s="101" t="s">
        <v>180</v>
      </c>
    </row>
    <row r="8" spans="1:226" ht="15.4" customHeight="1" x14ac:dyDescent="0.25">
      <c r="A8" s="101" t="s">
        <v>181</v>
      </c>
      <c r="B8" s="68"/>
      <c r="C8" s="68"/>
      <c r="D8" s="68"/>
      <c r="E8" s="68"/>
      <c r="F8" s="68"/>
      <c r="G8" s="68"/>
      <c r="H8" s="68"/>
      <c r="I8" s="68"/>
      <c r="J8" s="68"/>
      <c r="K8" s="68"/>
      <c r="L8" s="68"/>
      <c r="M8" s="68"/>
      <c r="N8" s="68"/>
      <c r="O8" s="68"/>
      <c r="P8" s="68"/>
      <c r="Q8" s="68"/>
      <c r="R8" s="68"/>
      <c r="S8" s="68"/>
      <c r="T8" s="68"/>
      <c r="U8" s="68"/>
      <c r="V8" s="68"/>
      <c r="W8" s="68"/>
      <c r="X8" s="68"/>
      <c r="Y8" s="68"/>
      <c r="Z8" s="69"/>
      <c r="AA8" s="69"/>
      <c r="AB8" s="69"/>
      <c r="AC8" s="69"/>
      <c r="AD8" s="69"/>
      <c r="AE8" s="69"/>
      <c r="AF8" s="69"/>
      <c r="AG8" s="69"/>
      <c r="AH8" s="69"/>
      <c r="AI8" s="69"/>
      <c r="AJ8" s="69"/>
      <c r="AK8" s="69"/>
      <c r="AL8" s="69"/>
      <c r="AM8" s="69"/>
      <c r="AN8" s="69"/>
      <c r="AO8" s="69"/>
      <c r="AP8" s="69"/>
      <c r="AQ8" s="69"/>
      <c r="AR8" s="69"/>
      <c r="AS8" s="69"/>
      <c r="AT8" s="69"/>
      <c r="AU8" s="69"/>
      <c r="AV8" s="69"/>
      <c r="AW8" s="69"/>
      <c r="AX8" s="69"/>
      <c r="AY8" s="69"/>
      <c r="AZ8" s="69"/>
      <c r="BA8" s="69"/>
      <c r="BB8" s="69"/>
      <c r="BC8" s="69"/>
      <c r="BD8" s="69"/>
      <c r="BE8" s="69"/>
      <c r="BF8" s="69"/>
      <c r="BG8" s="69"/>
      <c r="BH8" s="69"/>
      <c r="BI8" s="69"/>
      <c r="BJ8" s="69"/>
      <c r="BK8" s="69"/>
      <c r="BL8" s="69"/>
      <c r="BM8" s="69"/>
      <c r="BN8" s="69"/>
      <c r="BO8" s="69"/>
      <c r="BP8" s="69"/>
      <c r="BQ8" s="69"/>
      <c r="BR8" s="69"/>
      <c r="BS8" s="69"/>
      <c r="BT8" s="69"/>
      <c r="BU8" s="69"/>
      <c r="BV8" s="69"/>
      <c r="BW8" s="69"/>
      <c r="BX8" s="69"/>
      <c r="BY8" s="69"/>
      <c r="BZ8" s="69"/>
      <c r="CA8" s="69"/>
      <c r="CB8" s="69"/>
      <c r="CC8" s="69"/>
      <c r="CD8" s="69"/>
      <c r="CE8" s="69"/>
      <c r="CF8" s="69"/>
      <c r="CG8" s="69"/>
      <c r="CH8" s="69"/>
      <c r="CI8" s="69"/>
      <c r="CJ8" s="69"/>
      <c r="CK8" s="69"/>
      <c r="CL8" s="69"/>
      <c r="CM8" s="69"/>
      <c r="CN8" s="69"/>
      <c r="CO8" s="69"/>
      <c r="CP8" s="69"/>
      <c r="CQ8" s="69"/>
      <c r="CR8" s="69"/>
      <c r="CS8" s="69"/>
      <c r="CT8" s="69"/>
      <c r="CU8" s="69"/>
      <c r="CV8" s="69"/>
      <c r="CW8" s="69"/>
      <c r="CX8" s="69"/>
      <c r="CY8" s="69"/>
      <c r="CZ8" s="69"/>
      <c r="DA8" s="69"/>
      <c r="DB8" s="69"/>
      <c r="DC8" s="69"/>
      <c r="DD8" s="69"/>
      <c r="DE8" s="69"/>
      <c r="DF8" s="69"/>
      <c r="DG8" s="69"/>
      <c r="DH8" s="69"/>
      <c r="DI8" s="69"/>
      <c r="DJ8" s="69"/>
      <c r="DK8" s="69"/>
      <c r="DL8" s="69"/>
      <c r="DM8" s="69"/>
      <c r="DN8" s="69"/>
      <c r="DO8" s="69"/>
      <c r="DP8" s="69"/>
      <c r="DQ8" s="69"/>
      <c r="DR8" s="69"/>
      <c r="DS8" s="69"/>
      <c r="DT8" s="69"/>
      <c r="DU8" s="69"/>
      <c r="DV8" s="69"/>
      <c r="DW8" s="69"/>
      <c r="DX8" s="69"/>
      <c r="DY8" s="69"/>
      <c r="DZ8" s="69"/>
      <c r="EA8" s="69"/>
      <c r="EB8" s="69"/>
      <c r="EC8" s="69"/>
      <c r="ED8" s="69"/>
      <c r="EE8" s="69"/>
      <c r="EF8" s="69"/>
      <c r="EG8" s="69"/>
      <c r="EH8" s="69"/>
      <c r="EI8" s="69"/>
      <c r="EJ8" s="69"/>
      <c r="EK8" s="69"/>
      <c r="EL8" s="69"/>
      <c r="EM8" s="69"/>
      <c r="EN8" s="69"/>
      <c r="EO8" s="69"/>
      <c r="EP8" s="69"/>
      <c r="EQ8" s="69"/>
      <c r="ER8" s="69"/>
      <c r="ES8" s="69"/>
      <c r="ET8" s="69"/>
      <c r="EU8" s="69"/>
      <c r="EV8" s="69"/>
      <c r="EW8" s="69"/>
      <c r="EX8" s="69"/>
      <c r="EY8" s="69"/>
      <c r="EZ8" s="69"/>
      <c r="FA8" s="69"/>
      <c r="FB8" s="69"/>
      <c r="FC8" s="69"/>
      <c r="FD8" s="69"/>
      <c r="FE8" s="69"/>
      <c r="FF8" s="69"/>
      <c r="FG8" s="69"/>
      <c r="FH8" s="69"/>
      <c r="FI8" s="69"/>
      <c r="FJ8" s="69"/>
      <c r="FK8" s="69"/>
      <c r="FL8" s="69"/>
      <c r="FM8" s="69"/>
      <c r="FN8" s="69"/>
      <c r="FO8" s="69"/>
      <c r="FP8" s="69"/>
      <c r="FQ8" s="69"/>
      <c r="FR8" s="69"/>
      <c r="FS8" s="69"/>
      <c r="FT8" s="69"/>
      <c r="FU8" s="69"/>
      <c r="FV8" s="69"/>
      <c r="FW8" s="69"/>
      <c r="FX8" s="69"/>
      <c r="FY8" s="69"/>
      <c r="FZ8" s="69"/>
      <c r="GA8" s="69"/>
      <c r="GB8" s="69"/>
      <c r="GC8" s="69"/>
      <c r="GD8" s="69"/>
      <c r="GE8" s="69"/>
      <c r="GF8" s="69"/>
      <c r="GG8" s="69"/>
      <c r="GH8" s="69"/>
      <c r="GI8" s="69"/>
      <c r="GJ8" s="69"/>
      <c r="GK8" s="69"/>
      <c r="GL8" s="69"/>
      <c r="GM8" s="69"/>
      <c r="GN8" s="69"/>
      <c r="GO8" s="69"/>
      <c r="GP8" s="69"/>
      <c r="GQ8" s="69"/>
      <c r="GR8" s="69"/>
      <c r="GS8" s="69"/>
      <c r="GT8" s="69"/>
      <c r="GU8" s="69"/>
      <c r="GV8" s="69"/>
      <c r="GW8" s="69"/>
      <c r="GX8" s="69"/>
      <c r="GY8" s="69"/>
      <c r="GZ8" s="69"/>
      <c r="HA8" s="69"/>
      <c r="HB8" s="69"/>
      <c r="HC8" s="69"/>
      <c r="HD8" s="69"/>
      <c r="HE8" s="69"/>
      <c r="HF8" s="69"/>
      <c r="HG8" s="69"/>
      <c r="HH8" s="69"/>
      <c r="HI8" s="69"/>
      <c r="HJ8" s="69"/>
      <c r="HK8" s="69"/>
      <c r="HL8" s="69"/>
      <c r="HM8" s="69"/>
      <c r="HN8" s="69"/>
      <c r="HO8" s="69"/>
      <c r="HP8" s="69"/>
      <c r="HQ8" s="69"/>
      <c r="HR8" s="69"/>
    </row>
    <row r="9" spans="1:226" ht="31.15" customHeight="1" x14ac:dyDescent="0.2">
      <c r="A9" s="65" t="s">
        <v>100</v>
      </c>
    </row>
    <row r="10" spans="1:226" ht="15" customHeight="1" x14ac:dyDescent="0.2">
      <c r="A10" s="113" t="s">
        <v>101</v>
      </c>
    </row>
    <row r="11" spans="1:226" ht="15.4" customHeight="1" x14ac:dyDescent="0.2">
      <c r="A11" s="113" t="s">
        <v>102</v>
      </c>
    </row>
    <row r="12" spans="1:226" ht="31.15" customHeight="1" x14ac:dyDescent="0.2">
      <c r="A12" s="114" t="s">
        <v>103</v>
      </c>
    </row>
    <row r="13" spans="1:226" ht="31.15" customHeight="1" x14ac:dyDescent="0.2">
      <c r="A13" s="71" t="s">
        <v>104</v>
      </c>
      <c r="B13" s="77" t="s">
        <v>105</v>
      </c>
      <c r="C13" s="70" t="s">
        <v>106</v>
      </c>
      <c r="D13" s="74" t="s">
        <v>107</v>
      </c>
      <c r="E13" s="70" t="s">
        <v>108</v>
      </c>
      <c r="F13" s="70" t="s">
        <v>109</v>
      </c>
      <c r="G13" s="70" t="s">
        <v>110</v>
      </c>
      <c r="H13" s="77" t="s">
        <v>111</v>
      </c>
      <c r="I13" s="70" t="s">
        <v>112</v>
      </c>
      <c r="J13" s="74" t="s">
        <v>113</v>
      </c>
      <c r="K13" s="70" t="s">
        <v>114</v>
      </c>
      <c r="L13" s="70" t="s">
        <v>115</v>
      </c>
      <c r="M13" s="74" t="s">
        <v>116</v>
      </c>
      <c r="N13" s="77" t="s">
        <v>117</v>
      </c>
      <c r="O13" s="70" t="s">
        <v>118</v>
      </c>
      <c r="P13" s="74" t="s">
        <v>119</v>
      </c>
      <c r="Q13" s="77" t="s">
        <v>120</v>
      </c>
      <c r="R13" s="70" t="s">
        <v>121</v>
      </c>
      <c r="S13" s="70" t="s">
        <v>122</v>
      </c>
      <c r="T13" s="77" t="s">
        <v>123</v>
      </c>
      <c r="U13" s="70" t="s">
        <v>124</v>
      </c>
      <c r="V13" s="74" t="s">
        <v>125</v>
      </c>
      <c r="W13" s="70" t="s">
        <v>126</v>
      </c>
      <c r="X13" s="70" t="s">
        <v>127</v>
      </c>
      <c r="Y13" s="74" t="s">
        <v>128</v>
      </c>
      <c r="Z13" s="70" t="s">
        <v>129</v>
      </c>
      <c r="AA13" s="70" t="s">
        <v>130</v>
      </c>
      <c r="AB13" s="74" t="s">
        <v>131</v>
      </c>
      <c r="AC13" s="70" t="s">
        <v>132</v>
      </c>
      <c r="AD13" s="70" t="s">
        <v>133</v>
      </c>
      <c r="AE13" s="74" t="s">
        <v>134</v>
      </c>
      <c r="AF13" s="70" t="s">
        <v>135</v>
      </c>
      <c r="AG13" s="70" t="s">
        <v>136</v>
      </c>
      <c r="AH13" s="74" t="s">
        <v>137</v>
      </c>
    </row>
    <row r="14" spans="1:226" ht="15.6" customHeight="1" x14ac:dyDescent="0.2">
      <c r="A14" s="72" t="s">
        <v>138</v>
      </c>
      <c r="B14" s="149">
        <v>1059</v>
      </c>
      <c r="C14" s="133" t="s">
        <v>173</v>
      </c>
      <c r="D14" s="154">
        <v>80</v>
      </c>
      <c r="E14" s="176">
        <v>1084</v>
      </c>
      <c r="F14" s="177" t="s">
        <v>63</v>
      </c>
      <c r="G14" s="178">
        <v>88</v>
      </c>
      <c r="H14" s="79">
        <v>986</v>
      </c>
      <c r="I14" s="78" t="s">
        <v>66</v>
      </c>
      <c r="J14" s="80">
        <v>101</v>
      </c>
      <c r="K14" s="89">
        <v>1056</v>
      </c>
      <c r="L14" s="78" t="s">
        <v>63</v>
      </c>
      <c r="M14" s="80">
        <v>91</v>
      </c>
      <c r="N14" s="89">
        <v>990</v>
      </c>
      <c r="O14" s="78" t="s">
        <v>63</v>
      </c>
      <c r="P14" s="80">
        <v>71</v>
      </c>
      <c r="Q14" s="89">
        <v>1118</v>
      </c>
      <c r="R14" s="78" t="s">
        <v>63</v>
      </c>
      <c r="S14" s="80">
        <v>102</v>
      </c>
      <c r="T14" s="89">
        <v>952</v>
      </c>
      <c r="U14" s="78" t="s">
        <v>63</v>
      </c>
      <c r="V14" s="161">
        <v>59</v>
      </c>
      <c r="W14" s="89">
        <v>932</v>
      </c>
      <c r="X14" s="78" t="s">
        <v>63</v>
      </c>
      <c r="Y14" s="80">
        <v>58</v>
      </c>
      <c r="Z14" s="89">
        <v>914</v>
      </c>
      <c r="AA14" s="78" t="s">
        <v>63</v>
      </c>
      <c r="AB14" s="80">
        <v>56</v>
      </c>
      <c r="AC14" s="161">
        <v>961</v>
      </c>
      <c r="AD14" s="78" t="s">
        <v>63</v>
      </c>
      <c r="AE14" s="161">
        <v>56</v>
      </c>
      <c r="AF14" s="89">
        <v>950</v>
      </c>
      <c r="AG14" s="78" t="s">
        <v>63</v>
      </c>
      <c r="AH14" s="80">
        <v>56</v>
      </c>
    </row>
    <row r="15" spans="1:226" ht="15.6" customHeight="1" x14ac:dyDescent="0.2">
      <c r="A15" s="72" t="s">
        <v>139</v>
      </c>
      <c r="B15" s="144">
        <v>1373</v>
      </c>
      <c r="C15" s="134" t="s">
        <v>173</v>
      </c>
      <c r="D15" s="155">
        <v>75</v>
      </c>
      <c r="E15" s="179">
        <v>1360</v>
      </c>
      <c r="F15" s="180" t="s">
        <v>63</v>
      </c>
      <c r="G15" s="181">
        <v>79</v>
      </c>
      <c r="H15" s="51">
        <v>1334</v>
      </c>
      <c r="I15" s="75" t="s">
        <v>63</v>
      </c>
      <c r="J15" s="60">
        <v>94</v>
      </c>
      <c r="K15" s="51">
        <v>1404</v>
      </c>
      <c r="L15" s="75" t="s">
        <v>63</v>
      </c>
      <c r="M15" s="60">
        <v>81</v>
      </c>
      <c r="N15" s="51">
        <v>1292</v>
      </c>
      <c r="O15" s="75" t="s">
        <v>63</v>
      </c>
      <c r="P15" s="60">
        <v>68</v>
      </c>
      <c r="Q15" s="51">
        <v>1284</v>
      </c>
      <c r="R15" s="75" t="s">
        <v>63</v>
      </c>
      <c r="S15" s="60">
        <v>71</v>
      </c>
      <c r="T15" s="51">
        <v>1316</v>
      </c>
      <c r="U15" s="75" t="s">
        <v>63</v>
      </c>
      <c r="V15" s="50">
        <v>46</v>
      </c>
      <c r="W15" s="51">
        <v>1273</v>
      </c>
      <c r="X15" s="75" t="s">
        <v>63</v>
      </c>
      <c r="Y15" s="60">
        <v>46</v>
      </c>
      <c r="Z15" s="51">
        <v>1285</v>
      </c>
      <c r="AA15" s="75" t="s">
        <v>63</v>
      </c>
      <c r="AB15" s="60">
        <v>44</v>
      </c>
      <c r="AC15" s="50">
        <v>1296</v>
      </c>
      <c r="AD15" s="75" t="s">
        <v>63</v>
      </c>
      <c r="AE15" s="50">
        <v>45</v>
      </c>
      <c r="AF15" s="51">
        <v>1250</v>
      </c>
      <c r="AG15" s="75" t="s">
        <v>63</v>
      </c>
      <c r="AH15" s="60">
        <v>44</v>
      </c>
    </row>
    <row r="16" spans="1:226" ht="15.6" customHeight="1" x14ac:dyDescent="0.2">
      <c r="A16" s="72" t="s">
        <v>140</v>
      </c>
      <c r="B16" s="144">
        <v>642</v>
      </c>
      <c r="C16" s="134" t="s">
        <v>173</v>
      </c>
      <c r="D16" s="155">
        <v>41</v>
      </c>
      <c r="E16" s="179">
        <v>612</v>
      </c>
      <c r="F16" s="180" t="s">
        <v>63</v>
      </c>
      <c r="G16" s="181">
        <v>50</v>
      </c>
      <c r="H16" s="51">
        <v>625</v>
      </c>
      <c r="I16" s="75" t="s">
        <v>63</v>
      </c>
      <c r="J16" s="60">
        <v>51</v>
      </c>
      <c r="K16" s="51">
        <v>587</v>
      </c>
      <c r="L16" s="75" t="s">
        <v>63</v>
      </c>
      <c r="M16" s="60">
        <v>43</v>
      </c>
      <c r="N16" s="51">
        <v>595</v>
      </c>
      <c r="O16" s="75" t="s">
        <v>63</v>
      </c>
      <c r="P16" s="60">
        <v>36</v>
      </c>
      <c r="Q16" s="51">
        <v>605</v>
      </c>
      <c r="R16" s="75" t="s">
        <v>63</v>
      </c>
      <c r="S16" s="60">
        <v>44</v>
      </c>
      <c r="T16" s="51">
        <v>577</v>
      </c>
      <c r="U16" s="75" t="s">
        <v>63</v>
      </c>
      <c r="V16" s="50">
        <v>37</v>
      </c>
      <c r="W16" s="51">
        <v>605</v>
      </c>
      <c r="X16" s="75" t="s">
        <v>63</v>
      </c>
      <c r="Y16" s="60">
        <v>37</v>
      </c>
      <c r="Z16" s="51">
        <v>590</v>
      </c>
      <c r="AA16" s="75" t="s">
        <v>63</v>
      </c>
      <c r="AB16" s="60">
        <v>36</v>
      </c>
      <c r="AC16" s="50">
        <v>584</v>
      </c>
      <c r="AD16" s="75" t="s">
        <v>63</v>
      </c>
      <c r="AE16" s="50">
        <v>36</v>
      </c>
      <c r="AF16" s="51">
        <v>608</v>
      </c>
      <c r="AG16" s="75" t="s">
        <v>63</v>
      </c>
      <c r="AH16" s="60">
        <v>33</v>
      </c>
    </row>
    <row r="17" spans="1:34" ht="15.6" customHeight="1" x14ac:dyDescent="0.2">
      <c r="A17" s="72" t="s">
        <v>141</v>
      </c>
      <c r="B17" s="144">
        <v>641</v>
      </c>
      <c r="C17" s="134" t="s">
        <v>173</v>
      </c>
      <c r="D17" s="155">
        <v>41</v>
      </c>
      <c r="E17" s="179">
        <v>622</v>
      </c>
      <c r="F17" s="180" t="s">
        <v>63</v>
      </c>
      <c r="G17" s="181">
        <v>47</v>
      </c>
      <c r="H17" s="51">
        <v>622</v>
      </c>
      <c r="I17" s="75" t="s">
        <v>63</v>
      </c>
      <c r="J17" s="60">
        <v>51</v>
      </c>
      <c r="K17" s="51">
        <v>601</v>
      </c>
      <c r="L17" s="75" t="s">
        <v>63</v>
      </c>
      <c r="M17" s="60">
        <v>43</v>
      </c>
      <c r="N17" s="51">
        <v>612</v>
      </c>
      <c r="O17" s="75" t="s">
        <v>63</v>
      </c>
      <c r="P17" s="60">
        <v>43</v>
      </c>
      <c r="Q17" s="51">
        <v>591</v>
      </c>
      <c r="R17" s="75" t="s">
        <v>63</v>
      </c>
      <c r="S17" s="60">
        <v>42</v>
      </c>
      <c r="T17" s="51">
        <v>595</v>
      </c>
      <c r="U17" s="75" t="s">
        <v>63</v>
      </c>
      <c r="V17" s="50">
        <v>33</v>
      </c>
      <c r="W17" s="51">
        <v>601</v>
      </c>
      <c r="X17" s="75" t="s">
        <v>63</v>
      </c>
      <c r="Y17" s="60">
        <v>32</v>
      </c>
      <c r="Z17" s="51">
        <v>588</v>
      </c>
      <c r="AA17" s="75" t="s">
        <v>63</v>
      </c>
      <c r="AB17" s="60">
        <v>31</v>
      </c>
      <c r="AC17" s="50">
        <v>583</v>
      </c>
      <c r="AD17" s="75" t="s">
        <v>63</v>
      </c>
      <c r="AE17" s="50">
        <v>31</v>
      </c>
      <c r="AF17" s="51">
        <v>585</v>
      </c>
      <c r="AG17" s="75" t="s">
        <v>63</v>
      </c>
      <c r="AH17" s="60">
        <v>29</v>
      </c>
    </row>
    <row r="18" spans="1:34" ht="15.6" customHeight="1" x14ac:dyDescent="0.2">
      <c r="A18" s="72" t="s">
        <v>142</v>
      </c>
      <c r="B18" s="124">
        <v>175</v>
      </c>
      <c r="C18" s="134" t="s">
        <v>172</v>
      </c>
      <c r="D18" s="127">
        <v>28</v>
      </c>
      <c r="E18" s="57">
        <v>179</v>
      </c>
      <c r="F18" s="180" t="s">
        <v>66</v>
      </c>
      <c r="G18" s="181">
        <v>30</v>
      </c>
      <c r="H18" s="57">
        <v>165</v>
      </c>
      <c r="I18" s="75" t="s">
        <v>66</v>
      </c>
      <c r="J18" s="60">
        <v>31</v>
      </c>
      <c r="K18" s="62">
        <v>146</v>
      </c>
      <c r="L18" s="75" t="s">
        <v>69</v>
      </c>
      <c r="M18" s="60">
        <v>32</v>
      </c>
      <c r="N18" s="57">
        <v>170</v>
      </c>
      <c r="O18" s="75" t="s">
        <v>66</v>
      </c>
      <c r="P18" s="60">
        <v>24</v>
      </c>
      <c r="Q18" s="57">
        <v>162</v>
      </c>
      <c r="R18" s="75" t="s">
        <v>66</v>
      </c>
      <c r="S18" s="60">
        <v>24</v>
      </c>
      <c r="T18" s="57">
        <v>179</v>
      </c>
      <c r="U18" s="75" t="s">
        <v>66</v>
      </c>
      <c r="V18" s="50">
        <v>21</v>
      </c>
      <c r="W18" s="57">
        <v>183</v>
      </c>
      <c r="X18" s="75" t="s">
        <v>66</v>
      </c>
      <c r="Y18" s="60">
        <v>21</v>
      </c>
      <c r="Z18" s="57">
        <v>177</v>
      </c>
      <c r="AA18" s="75" t="s">
        <v>66</v>
      </c>
      <c r="AB18" s="60">
        <v>20</v>
      </c>
      <c r="AC18" s="53">
        <v>161</v>
      </c>
      <c r="AD18" s="75" t="s">
        <v>66</v>
      </c>
      <c r="AE18" s="50">
        <v>19</v>
      </c>
      <c r="AF18" s="57">
        <v>164</v>
      </c>
      <c r="AG18" s="75" t="s">
        <v>66</v>
      </c>
      <c r="AH18" s="60">
        <v>18</v>
      </c>
    </row>
    <row r="19" spans="1:34" ht="15.6" customHeight="1" x14ac:dyDescent="0.2">
      <c r="A19" s="72" t="s">
        <v>143</v>
      </c>
      <c r="B19" s="129">
        <v>51</v>
      </c>
      <c r="C19" s="134" t="s">
        <v>174</v>
      </c>
      <c r="D19" s="127">
        <v>17</v>
      </c>
      <c r="E19" s="62">
        <v>47</v>
      </c>
      <c r="F19" s="180" t="s">
        <v>69</v>
      </c>
      <c r="G19" s="181">
        <v>17</v>
      </c>
      <c r="H19" s="62">
        <v>56</v>
      </c>
      <c r="I19" s="75" t="s">
        <v>69</v>
      </c>
      <c r="J19" s="60">
        <v>21</v>
      </c>
      <c r="K19" s="62">
        <v>65</v>
      </c>
      <c r="L19" s="75" t="s">
        <v>69</v>
      </c>
      <c r="M19" s="60">
        <v>19</v>
      </c>
      <c r="N19" s="62">
        <v>76</v>
      </c>
      <c r="O19" s="75" t="s">
        <v>69</v>
      </c>
      <c r="P19" s="60">
        <v>18</v>
      </c>
      <c r="Q19" s="62">
        <v>67</v>
      </c>
      <c r="R19" s="75" t="s">
        <v>69</v>
      </c>
      <c r="S19" s="60">
        <v>17</v>
      </c>
      <c r="T19" s="57">
        <v>74</v>
      </c>
      <c r="U19" s="75" t="s">
        <v>66</v>
      </c>
      <c r="V19" s="50">
        <v>14</v>
      </c>
      <c r="W19" s="62">
        <v>61</v>
      </c>
      <c r="X19" s="75" t="s">
        <v>69</v>
      </c>
      <c r="Y19" s="60">
        <v>11</v>
      </c>
      <c r="Z19" s="62">
        <v>69</v>
      </c>
      <c r="AA19" s="75" t="s">
        <v>69</v>
      </c>
      <c r="AB19" s="60">
        <v>11</v>
      </c>
      <c r="AC19" s="54">
        <v>69</v>
      </c>
      <c r="AD19" s="75" t="s">
        <v>69</v>
      </c>
      <c r="AE19" s="50">
        <v>12</v>
      </c>
      <c r="AF19" s="57">
        <v>58</v>
      </c>
      <c r="AG19" s="75" t="s">
        <v>66</v>
      </c>
      <c r="AH19" s="60">
        <v>11</v>
      </c>
    </row>
    <row r="20" spans="1:34" ht="15.6" customHeight="1" x14ac:dyDescent="0.2">
      <c r="A20" s="66" t="s">
        <v>144</v>
      </c>
      <c r="B20" s="129">
        <v>38</v>
      </c>
      <c r="C20" s="134" t="s">
        <v>174</v>
      </c>
      <c r="D20" s="127">
        <v>14</v>
      </c>
      <c r="E20" s="58">
        <v>37</v>
      </c>
      <c r="F20" s="180" t="s">
        <v>72</v>
      </c>
      <c r="G20" s="181">
        <v>16</v>
      </c>
      <c r="H20" s="58">
        <v>41</v>
      </c>
      <c r="I20" s="75" t="s">
        <v>72</v>
      </c>
      <c r="J20" s="60">
        <v>18</v>
      </c>
      <c r="K20" s="62">
        <v>45</v>
      </c>
      <c r="L20" s="75" t="s">
        <v>69</v>
      </c>
      <c r="M20" s="60">
        <v>15</v>
      </c>
      <c r="N20" s="62">
        <v>52</v>
      </c>
      <c r="O20" s="75" t="s">
        <v>69</v>
      </c>
      <c r="P20" s="60">
        <v>15</v>
      </c>
      <c r="Q20" s="62">
        <v>50</v>
      </c>
      <c r="R20" s="75" t="s">
        <v>69</v>
      </c>
      <c r="S20" s="60">
        <v>15</v>
      </c>
      <c r="T20" s="62">
        <v>54</v>
      </c>
      <c r="U20" s="75" t="s">
        <v>69</v>
      </c>
      <c r="V20" s="50">
        <v>12</v>
      </c>
      <c r="W20" s="62">
        <v>47</v>
      </c>
      <c r="X20" s="75" t="s">
        <v>69</v>
      </c>
      <c r="Y20" s="60">
        <v>11</v>
      </c>
      <c r="Z20" s="62">
        <v>53</v>
      </c>
      <c r="AA20" s="75" t="s">
        <v>69</v>
      </c>
      <c r="AB20" s="60">
        <v>11</v>
      </c>
      <c r="AC20" s="54">
        <v>54</v>
      </c>
      <c r="AD20" s="75" t="s">
        <v>69</v>
      </c>
      <c r="AE20" s="50">
        <v>12</v>
      </c>
      <c r="AF20" s="62">
        <v>44</v>
      </c>
      <c r="AG20" s="75" t="s">
        <v>69</v>
      </c>
      <c r="AH20" s="60">
        <v>9</v>
      </c>
    </row>
    <row r="21" spans="1:34" ht="15.6" customHeight="1" x14ac:dyDescent="0.2">
      <c r="A21" s="67" t="s">
        <v>145</v>
      </c>
      <c r="B21" s="130">
        <v>13</v>
      </c>
      <c r="C21" s="134" t="s">
        <v>175</v>
      </c>
      <c r="D21" s="127">
        <v>9</v>
      </c>
      <c r="E21" s="160">
        <v>10</v>
      </c>
      <c r="F21" s="175" t="s">
        <v>72</v>
      </c>
      <c r="G21" s="182">
        <v>8</v>
      </c>
      <c r="H21" s="160">
        <v>15</v>
      </c>
      <c r="I21" s="157" t="s">
        <v>72</v>
      </c>
      <c r="J21" s="90">
        <v>13</v>
      </c>
      <c r="K21" s="160">
        <v>20</v>
      </c>
      <c r="L21" s="157" t="s">
        <v>72</v>
      </c>
      <c r="M21" s="90">
        <v>13</v>
      </c>
      <c r="N21" s="160">
        <v>24</v>
      </c>
      <c r="O21" s="157" t="s">
        <v>72</v>
      </c>
      <c r="P21" s="90">
        <v>11</v>
      </c>
      <c r="Q21" s="160">
        <v>17</v>
      </c>
      <c r="R21" s="157" t="s">
        <v>72</v>
      </c>
      <c r="S21" s="90">
        <v>10</v>
      </c>
      <c r="T21" s="97">
        <v>20</v>
      </c>
      <c r="U21" s="157" t="s">
        <v>69</v>
      </c>
      <c r="V21" s="48">
        <v>8</v>
      </c>
      <c r="W21" s="160">
        <v>14</v>
      </c>
      <c r="X21" s="157" t="s">
        <v>72</v>
      </c>
      <c r="Y21" s="90">
        <v>6</v>
      </c>
      <c r="Z21" s="160">
        <v>16</v>
      </c>
      <c r="AA21" s="157" t="s">
        <v>72</v>
      </c>
      <c r="AB21" s="90">
        <v>7</v>
      </c>
      <c r="AC21" s="183">
        <v>15</v>
      </c>
      <c r="AD21" s="157" t="s">
        <v>72</v>
      </c>
      <c r="AE21" s="48">
        <v>6</v>
      </c>
      <c r="AF21" s="160">
        <v>14</v>
      </c>
      <c r="AG21" s="157" t="s">
        <v>72</v>
      </c>
      <c r="AH21" s="90">
        <v>6</v>
      </c>
    </row>
    <row r="22" spans="1:34" ht="15.6" customHeight="1" x14ac:dyDescent="0.2">
      <c r="A22" s="76" t="s">
        <v>147</v>
      </c>
      <c r="B22" s="145">
        <v>3941</v>
      </c>
      <c r="C22" s="135" t="s">
        <v>173</v>
      </c>
      <c r="D22" s="132">
        <v>78</v>
      </c>
      <c r="E22" s="99">
        <v>3905</v>
      </c>
      <c r="F22" s="175" t="s">
        <v>63</v>
      </c>
      <c r="G22" s="99">
        <v>87</v>
      </c>
      <c r="H22" s="49">
        <v>3787</v>
      </c>
      <c r="I22" s="157" t="s">
        <v>63</v>
      </c>
      <c r="J22" s="90">
        <v>100</v>
      </c>
      <c r="K22" s="48">
        <v>3860</v>
      </c>
      <c r="L22" s="157" t="s">
        <v>63</v>
      </c>
      <c r="M22" s="90">
        <v>90</v>
      </c>
      <c r="N22" s="48">
        <v>3734</v>
      </c>
      <c r="O22" s="157" t="s">
        <v>63</v>
      </c>
      <c r="P22" s="90">
        <v>72</v>
      </c>
      <c r="Q22" s="48">
        <v>3826</v>
      </c>
      <c r="R22" s="157" t="s">
        <v>63</v>
      </c>
      <c r="S22" s="48">
        <v>86</v>
      </c>
      <c r="T22" s="49">
        <v>3693</v>
      </c>
      <c r="U22" s="157" t="s">
        <v>63</v>
      </c>
      <c r="V22" s="90">
        <v>38</v>
      </c>
      <c r="W22" s="48">
        <v>3655</v>
      </c>
      <c r="X22" s="157" t="s">
        <v>63</v>
      </c>
      <c r="Y22" s="90">
        <v>37</v>
      </c>
      <c r="Z22" s="48">
        <v>3623</v>
      </c>
      <c r="AA22" s="157" t="s">
        <v>63</v>
      </c>
      <c r="AB22" s="90">
        <v>36</v>
      </c>
      <c r="AC22" s="48">
        <v>3654</v>
      </c>
      <c r="AD22" s="157" t="s">
        <v>63</v>
      </c>
      <c r="AE22" s="90">
        <v>36</v>
      </c>
      <c r="AF22" s="48">
        <v>3615</v>
      </c>
      <c r="AG22" s="157" t="s">
        <v>63</v>
      </c>
      <c r="AH22" s="90">
        <v>35</v>
      </c>
    </row>
    <row r="23" spans="1:34" ht="15.6" customHeight="1" x14ac:dyDescent="0.2">
      <c r="A23" s="84" t="s">
        <v>148</v>
      </c>
      <c r="B23" s="143">
        <v>2.41</v>
      </c>
      <c r="C23" s="136" t="s">
        <v>173</v>
      </c>
      <c r="D23" s="123">
        <v>0.05</v>
      </c>
      <c r="E23" s="147">
        <v>2.39</v>
      </c>
      <c r="F23" s="148" t="s">
        <v>63</v>
      </c>
      <c r="G23" s="147">
        <v>0.05</v>
      </c>
      <c r="H23" s="138">
        <v>2.4300000000000002</v>
      </c>
      <c r="I23" s="47" t="s">
        <v>63</v>
      </c>
      <c r="J23" s="139">
        <v>0.06</v>
      </c>
      <c r="K23" s="137">
        <v>2.38</v>
      </c>
      <c r="L23" s="47" t="s">
        <v>63</v>
      </c>
      <c r="M23" s="139">
        <v>0.06</v>
      </c>
      <c r="N23" s="137">
        <v>2.4500000000000002</v>
      </c>
      <c r="O23" s="47" t="s">
        <v>63</v>
      </c>
      <c r="P23" s="139">
        <v>0.05</v>
      </c>
      <c r="Q23" s="137">
        <v>2.38</v>
      </c>
      <c r="R23" s="47" t="s">
        <v>63</v>
      </c>
      <c r="S23" s="137">
        <v>0.05</v>
      </c>
      <c r="T23" s="138">
        <v>2.4500000000000002</v>
      </c>
      <c r="U23" s="47" t="s">
        <v>63</v>
      </c>
      <c r="V23" s="139">
        <v>0.03</v>
      </c>
      <c r="W23" s="137">
        <v>2.46</v>
      </c>
      <c r="X23" s="47" t="s">
        <v>63</v>
      </c>
      <c r="Y23" s="139">
        <v>0.03</v>
      </c>
      <c r="Z23" s="137">
        <v>2.46</v>
      </c>
      <c r="AA23" s="47" t="s">
        <v>63</v>
      </c>
      <c r="AB23" s="139">
        <v>0.02</v>
      </c>
      <c r="AC23" s="137">
        <v>2.4300000000000002</v>
      </c>
      <c r="AD23" s="47" t="s">
        <v>63</v>
      </c>
      <c r="AE23" s="139">
        <v>0.02</v>
      </c>
      <c r="AF23" s="137">
        <v>2.4300000000000002</v>
      </c>
      <c r="AG23" s="47" t="s">
        <v>63</v>
      </c>
      <c r="AH23" s="139">
        <v>0.02</v>
      </c>
    </row>
    <row r="24" spans="1:34" ht="15.6" customHeight="1" x14ac:dyDescent="0.2"/>
    <row r="25" spans="1:34" ht="15.6" customHeight="1" x14ac:dyDescent="0.2"/>
  </sheetData>
  <hyperlinks>
    <hyperlink ref="A10" r:id="rId1" xr:uid="{00000000-0004-0000-0B00-000000000000}"/>
    <hyperlink ref="A11" r:id="rId2" xr:uid="{00000000-0004-0000-0B00-000001000000}"/>
    <hyperlink ref="A12" r:id="rId3" xr:uid="{00000000-0004-0000-0B00-000002000000}"/>
  </hyperlinks>
  <pageMargins left="0.7" right="0.7" top="0.75" bottom="0.75" header="0.3" footer="0.3"/>
  <pageSetup paperSize="9" orientation="portrait"/>
  <tableParts count="1">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HR25"/>
  <sheetViews>
    <sheetView showGridLines="0" showZeros="0" workbookViewId="0"/>
  </sheetViews>
  <sheetFormatPr defaultColWidth="10.88671875" defaultRowHeight="15" x14ac:dyDescent="0.2"/>
  <cols>
    <col min="1" max="1" width="55.6640625" customWidth="1"/>
    <col min="2" max="2" width="13.109375" bestFit="1" customWidth="1"/>
    <col min="3" max="3" width="8.21875" bestFit="1" customWidth="1"/>
    <col min="4" max="4" width="9.44140625" bestFit="1" customWidth="1"/>
    <col min="5" max="5" width="13.109375" bestFit="1" customWidth="1"/>
    <col min="6" max="6" width="8.21875" bestFit="1" customWidth="1"/>
    <col min="7" max="7" width="9.44140625" bestFit="1" customWidth="1"/>
    <col min="8" max="8" width="13.109375" bestFit="1" customWidth="1"/>
    <col min="9" max="9" width="8.21875" bestFit="1" customWidth="1"/>
    <col min="10" max="10" width="9.44140625" bestFit="1" customWidth="1"/>
    <col min="11" max="11" width="13.109375" bestFit="1" customWidth="1"/>
    <col min="12" max="12" width="8.21875" bestFit="1" customWidth="1"/>
    <col min="13" max="13" width="9.44140625" bestFit="1" customWidth="1"/>
    <col min="14" max="14" width="13.109375" bestFit="1" customWidth="1"/>
    <col min="15" max="15" width="8.21875" bestFit="1" customWidth="1"/>
    <col min="16" max="16" width="9.44140625" bestFit="1" customWidth="1"/>
    <col min="17" max="17" width="13.109375" bestFit="1" customWidth="1"/>
    <col min="18" max="18" width="8.21875" bestFit="1" customWidth="1"/>
    <col min="19" max="19" width="9.44140625" bestFit="1" customWidth="1"/>
    <col min="20" max="20" width="13.109375" bestFit="1" customWidth="1"/>
    <col min="21" max="21" width="8.21875" bestFit="1" customWidth="1"/>
    <col min="22" max="22" width="9.44140625" bestFit="1" customWidth="1"/>
    <col min="23" max="23" width="13.109375" bestFit="1" customWidth="1"/>
    <col min="24" max="24" width="8.21875" bestFit="1" customWidth="1"/>
    <col min="25" max="25" width="9.44140625" bestFit="1" customWidth="1"/>
    <col min="26" max="26" width="13.109375" bestFit="1" customWidth="1"/>
    <col min="27" max="27" width="8.21875" bestFit="1" customWidth="1"/>
    <col min="28" max="28" width="9.44140625" bestFit="1" customWidth="1"/>
    <col min="29" max="29" width="13.109375" bestFit="1" customWidth="1"/>
    <col min="30" max="30" width="8.21875" bestFit="1" customWidth="1"/>
    <col min="31" max="31" width="9.44140625" bestFit="1" customWidth="1"/>
    <col min="32" max="32" width="13.109375" bestFit="1" customWidth="1"/>
    <col min="33" max="33" width="8.21875" bestFit="1" customWidth="1"/>
    <col min="34" max="34" width="9.44140625" bestFit="1" customWidth="1"/>
  </cols>
  <sheetData>
    <row r="1" spans="1:226" ht="19.899999999999999" customHeight="1" x14ac:dyDescent="0.3">
      <c r="A1" s="193" t="s">
        <v>0</v>
      </c>
    </row>
    <row r="2" spans="1:226" ht="31.15" customHeight="1" x14ac:dyDescent="0.2">
      <c r="A2" s="194" t="s">
        <v>163</v>
      </c>
    </row>
    <row r="3" spans="1:226" ht="15.4" customHeight="1" x14ac:dyDescent="0.2">
      <c r="A3" s="101" t="s">
        <v>164</v>
      </c>
    </row>
    <row r="4" spans="1:226" ht="15.4" customHeight="1" x14ac:dyDescent="0.2">
      <c r="A4" s="101" t="s">
        <v>98</v>
      </c>
    </row>
    <row r="5" spans="1:226" ht="15.6" customHeight="1" x14ac:dyDescent="0.2">
      <c r="A5" s="101" t="s">
        <v>99</v>
      </c>
    </row>
    <row r="6" spans="1:226" ht="15.6" customHeight="1" x14ac:dyDescent="0.2">
      <c r="A6" s="101" t="s">
        <v>179</v>
      </c>
    </row>
    <row r="7" spans="1:226" ht="15.6" customHeight="1" x14ac:dyDescent="0.2">
      <c r="A7" s="101" t="s">
        <v>180</v>
      </c>
    </row>
    <row r="8" spans="1:226" ht="15.4" customHeight="1" x14ac:dyDescent="0.25">
      <c r="A8" s="101" t="s">
        <v>181</v>
      </c>
      <c r="B8" s="81"/>
      <c r="C8" s="81"/>
      <c r="D8" s="81"/>
      <c r="E8" s="81"/>
      <c r="F8" s="81"/>
      <c r="G8" s="81"/>
      <c r="H8" s="81"/>
      <c r="I8" s="81"/>
      <c r="J8" s="81"/>
      <c r="K8" s="81"/>
      <c r="L8" s="81"/>
      <c r="M8" s="81"/>
      <c r="N8" s="81"/>
      <c r="O8" s="81"/>
      <c r="P8" s="81"/>
      <c r="Q8" s="81"/>
      <c r="R8" s="81"/>
      <c r="S8" s="81"/>
      <c r="T8" s="81"/>
      <c r="U8" s="81"/>
      <c r="V8" s="81"/>
      <c r="W8" s="81"/>
      <c r="X8" s="81"/>
      <c r="Y8" s="81"/>
      <c r="Z8" s="82"/>
      <c r="AA8" s="82"/>
      <c r="AB8" s="82"/>
      <c r="AC8" s="82"/>
      <c r="AD8" s="82"/>
      <c r="AE8" s="82"/>
      <c r="AF8" s="82"/>
      <c r="AG8" s="82"/>
      <c r="AH8" s="82"/>
      <c r="AI8" s="82"/>
      <c r="AJ8" s="82"/>
      <c r="AK8" s="82"/>
      <c r="AL8" s="82"/>
      <c r="AM8" s="82"/>
      <c r="AN8" s="82"/>
      <c r="AO8" s="82"/>
      <c r="AP8" s="82"/>
      <c r="AQ8" s="82"/>
      <c r="AR8" s="82"/>
      <c r="AS8" s="82"/>
      <c r="AT8" s="82"/>
      <c r="AU8" s="82"/>
      <c r="AV8" s="82"/>
      <c r="AW8" s="82"/>
      <c r="AX8" s="82"/>
      <c r="AY8" s="82"/>
      <c r="AZ8" s="82"/>
      <c r="BA8" s="82"/>
      <c r="BB8" s="82"/>
      <c r="BC8" s="82"/>
      <c r="BD8" s="82"/>
      <c r="BE8" s="82"/>
      <c r="BF8" s="82"/>
      <c r="BG8" s="82"/>
      <c r="BH8" s="82"/>
      <c r="BI8" s="82"/>
      <c r="BJ8" s="82"/>
      <c r="BK8" s="82"/>
      <c r="BL8" s="82"/>
      <c r="BM8" s="82"/>
      <c r="BN8" s="82"/>
      <c r="BO8" s="82"/>
      <c r="BP8" s="82"/>
      <c r="BQ8" s="82"/>
      <c r="BR8" s="82"/>
      <c r="BS8" s="82"/>
      <c r="BT8" s="82"/>
      <c r="BU8" s="82"/>
      <c r="BV8" s="82"/>
      <c r="BW8" s="82"/>
      <c r="BX8" s="82"/>
      <c r="BY8" s="82"/>
      <c r="BZ8" s="82"/>
      <c r="CA8" s="82"/>
      <c r="CB8" s="82"/>
      <c r="CC8" s="82"/>
      <c r="CD8" s="82"/>
      <c r="CE8" s="82"/>
      <c r="CF8" s="82"/>
      <c r="CG8" s="82"/>
      <c r="CH8" s="82"/>
      <c r="CI8" s="82"/>
      <c r="CJ8" s="82"/>
      <c r="CK8" s="82"/>
      <c r="CL8" s="82"/>
      <c r="CM8" s="82"/>
      <c r="CN8" s="82"/>
      <c r="CO8" s="82"/>
      <c r="CP8" s="82"/>
      <c r="CQ8" s="82"/>
      <c r="CR8" s="82"/>
      <c r="CS8" s="82"/>
      <c r="CT8" s="82"/>
      <c r="CU8" s="82"/>
      <c r="CV8" s="82"/>
      <c r="CW8" s="82"/>
      <c r="CX8" s="82"/>
      <c r="CY8" s="82"/>
      <c r="CZ8" s="82"/>
      <c r="DA8" s="82"/>
      <c r="DB8" s="82"/>
      <c r="DC8" s="82"/>
      <c r="DD8" s="82"/>
      <c r="DE8" s="82"/>
      <c r="DF8" s="82"/>
      <c r="DG8" s="82"/>
      <c r="DH8" s="82"/>
      <c r="DI8" s="82"/>
      <c r="DJ8" s="82"/>
      <c r="DK8" s="82"/>
      <c r="DL8" s="82"/>
      <c r="DM8" s="82"/>
      <c r="DN8" s="82"/>
      <c r="DO8" s="82"/>
      <c r="DP8" s="82"/>
      <c r="DQ8" s="82"/>
      <c r="DR8" s="82"/>
      <c r="DS8" s="82"/>
      <c r="DT8" s="82"/>
      <c r="DU8" s="82"/>
      <c r="DV8" s="82"/>
      <c r="DW8" s="82"/>
      <c r="DX8" s="82"/>
      <c r="DY8" s="82"/>
      <c r="DZ8" s="82"/>
      <c r="EA8" s="82"/>
      <c r="EB8" s="82"/>
      <c r="EC8" s="82"/>
      <c r="ED8" s="82"/>
      <c r="EE8" s="82"/>
      <c r="EF8" s="82"/>
      <c r="EG8" s="82"/>
      <c r="EH8" s="82"/>
      <c r="EI8" s="82"/>
      <c r="EJ8" s="82"/>
      <c r="EK8" s="82"/>
      <c r="EL8" s="82"/>
      <c r="EM8" s="82"/>
      <c r="EN8" s="82"/>
      <c r="EO8" s="82"/>
      <c r="EP8" s="82"/>
      <c r="EQ8" s="82"/>
      <c r="ER8" s="82"/>
      <c r="ES8" s="82"/>
      <c r="ET8" s="82"/>
      <c r="EU8" s="82"/>
      <c r="EV8" s="82"/>
      <c r="EW8" s="82"/>
      <c r="EX8" s="82"/>
      <c r="EY8" s="82"/>
      <c r="EZ8" s="82"/>
      <c r="FA8" s="82"/>
      <c r="FB8" s="82"/>
      <c r="FC8" s="82"/>
      <c r="FD8" s="82"/>
      <c r="FE8" s="82"/>
      <c r="FF8" s="82"/>
      <c r="FG8" s="82"/>
      <c r="FH8" s="82"/>
      <c r="FI8" s="82"/>
      <c r="FJ8" s="82"/>
      <c r="FK8" s="82"/>
      <c r="FL8" s="82"/>
      <c r="FM8" s="82"/>
      <c r="FN8" s="82"/>
      <c r="FO8" s="82"/>
      <c r="FP8" s="82"/>
      <c r="FQ8" s="82"/>
      <c r="FR8" s="82"/>
      <c r="FS8" s="82"/>
      <c r="FT8" s="82"/>
      <c r="FU8" s="82"/>
      <c r="FV8" s="82"/>
      <c r="FW8" s="82"/>
      <c r="FX8" s="82"/>
      <c r="FY8" s="82"/>
      <c r="FZ8" s="82"/>
      <c r="GA8" s="82"/>
      <c r="GB8" s="82"/>
      <c r="GC8" s="82"/>
      <c r="GD8" s="82"/>
      <c r="GE8" s="82"/>
      <c r="GF8" s="82"/>
      <c r="GG8" s="82"/>
      <c r="GH8" s="82"/>
      <c r="GI8" s="82"/>
      <c r="GJ8" s="82"/>
      <c r="GK8" s="82"/>
      <c r="GL8" s="82"/>
      <c r="GM8" s="82"/>
      <c r="GN8" s="82"/>
      <c r="GO8" s="82"/>
      <c r="GP8" s="82"/>
      <c r="GQ8" s="82"/>
      <c r="GR8" s="82"/>
      <c r="GS8" s="82"/>
      <c r="GT8" s="82"/>
      <c r="GU8" s="82"/>
      <c r="GV8" s="82"/>
      <c r="GW8" s="82"/>
      <c r="GX8" s="82"/>
      <c r="GY8" s="82"/>
      <c r="GZ8" s="82"/>
      <c r="HA8" s="82"/>
      <c r="HB8" s="82"/>
      <c r="HC8" s="82"/>
      <c r="HD8" s="82"/>
      <c r="HE8" s="82"/>
      <c r="HF8" s="82"/>
      <c r="HG8" s="82"/>
      <c r="HH8" s="82"/>
      <c r="HI8" s="82"/>
      <c r="HJ8" s="82"/>
      <c r="HK8" s="82"/>
      <c r="HL8" s="82"/>
      <c r="HM8" s="82"/>
      <c r="HN8" s="82"/>
      <c r="HO8" s="82"/>
      <c r="HP8" s="82"/>
      <c r="HQ8" s="82"/>
      <c r="HR8" s="82"/>
    </row>
    <row r="9" spans="1:226" ht="31.15" customHeight="1" x14ac:dyDescent="0.2">
      <c r="A9" s="65" t="s">
        <v>100</v>
      </c>
    </row>
    <row r="10" spans="1:226" ht="15" customHeight="1" x14ac:dyDescent="0.2">
      <c r="A10" s="113" t="s">
        <v>101</v>
      </c>
    </row>
    <row r="11" spans="1:226" ht="15.4" customHeight="1" x14ac:dyDescent="0.2">
      <c r="A11" s="113" t="s">
        <v>102</v>
      </c>
    </row>
    <row r="12" spans="1:226" ht="31.15" customHeight="1" x14ac:dyDescent="0.2">
      <c r="A12" s="114" t="s">
        <v>103</v>
      </c>
    </row>
    <row r="13" spans="1:226" ht="31.15" customHeight="1" x14ac:dyDescent="0.2">
      <c r="A13" s="71" t="s">
        <v>104</v>
      </c>
      <c r="B13" s="77" t="s">
        <v>105</v>
      </c>
      <c r="C13" s="70" t="s">
        <v>106</v>
      </c>
      <c r="D13" s="74" t="s">
        <v>107</v>
      </c>
      <c r="E13" s="70" t="s">
        <v>108</v>
      </c>
      <c r="F13" s="70" t="s">
        <v>109</v>
      </c>
      <c r="G13" s="70" t="s">
        <v>110</v>
      </c>
      <c r="H13" s="77" t="s">
        <v>111</v>
      </c>
      <c r="I13" s="70" t="s">
        <v>112</v>
      </c>
      <c r="J13" s="74" t="s">
        <v>113</v>
      </c>
      <c r="K13" s="70" t="s">
        <v>114</v>
      </c>
      <c r="L13" s="70" t="s">
        <v>115</v>
      </c>
      <c r="M13" s="74" t="s">
        <v>116</v>
      </c>
      <c r="N13" s="77" t="s">
        <v>117</v>
      </c>
      <c r="O13" s="70" t="s">
        <v>118</v>
      </c>
      <c r="P13" s="74" t="s">
        <v>119</v>
      </c>
      <c r="Q13" s="77" t="s">
        <v>120</v>
      </c>
      <c r="R13" s="70" t="s">
        <v>121</v>
      </c>
      <c r="S13" s="70" t="s">
        <v>122</v>
      </c>
      <c r="T13" s="77" t="s">
        <v>123</v>
      </c>
      <c r="U13" s="70" t="s">
        <v>124</v>
      </c>
      <c r="V13" s="74" t="s">
        <v>125</v>
      </c>
      <c r="W13" s="70" t="s">
        <v>126</v>
      </c>
      <c r="X13" s="70" t="s">
        <v>127</v>
      </c>
      <c r="Y13" s="74" t="s">
        <v>128</v>
      </c>
      <c r="Z13" s="70" t="s">
        <v>129</v>
      </c>
      <c r="AA13" s="70" t="s">
        <v>130</v>
      </c>
      <c r="AB13" s="74" t="s">
        <v>131</v>
      </c>
      <c r="AC13" s="70" t="s">
        <v>132</v>
      </c>
      <c r="AD13" s="70" t="s">
        <v>133</v>
      </c>
      <c r="AE13" s="74" t="s">
        <v>134</v>
      </c>
      <c r="AF13" s="70" t="s">
        <v>135</v>
      </c>
      <c r="AG13" s="70" t="s">
        <v>136</v>
      </c>
      <c r="AH13" s="74" t="s">
        <v>137</v>
      </c>
    </row>
    <row r="14" spans="1:226" ht="15.6" customHeight="1" x14ac:dyDescent="0.2">
      <c r="A14" s="72" t="s">
        <v>138</v>
      </c>
      <c r="B14" s="144">
        <v>779</v>
      </c>
      <c r="C14" s="134" t="s">
        <v>173</v>
      </c>
      <c r="D14" s="155">
        <v>72</v>
      </c>
      <c r="E14" s="79">
        <v>777</v>
      </c>
      <c r="F14" s="78" t="s">
        <v>66</v>
      </c>
      <c r="G14" s="80">
        <v>77</v>
      </c>
      <c r="H14" s="79">
        <v>673</v>
      </c>
      <c r="I14" s="78" t="s">
        <v>66</v>
      </c>
      <c r="J14" s="80">
        <v>67</v>
      </c>
      <c r="K14" s="79">
        <v>729</v>
      </c>
      <c r="L14" s="78" t="s">
        <v>66</v>
      </c>
      <c r="M14" s="80">
        <v>76</v>
      </c>
      <c r="N14" s="89">
        <v>707</v>
      </c>
      <c r="O14" s="78" t="s">
        <v>63</v>
      </c>
      <c r="P14" s="80">
        <v>56</v>
      </c>
      <c r="Q14" s="79">
        <v>710</v>
      </c>
      <c r="R14" s="78" t="s">
        <v>66</v>
      </c>
      <c r="S14" s="80">
        <v>78</v>
      </c>
      <c r="T14" s="89">
        <v>745</v>
      </c>
      <c r="U14" s="78" t="s">
        <v>63</v>
      </c>
      <c r="V14" s="80">
        <v>54</v>
      </c>
      <c r="W14" s="89">
        <v>729</v>
      </c>
      <c r="X14" s="78" t="s">
        <v>63</v>
      </c>
      <c r="Y14" s="80">
        <v>49</v>
      </c>
      <c r="Z14" s="89">
        <v>671</v>
      </c>
      <c r="AA14" s="78" t="s">
        <v>63</v>
      </c>
      <c r="AB14" s="80">
        <v>47</v>
      </c>
      <c r="AC14" s="89">
        <v>616</v>
      </c>
      <c r="AD14" s="78" t="s">
        <v>63</v>
      </c>
      <c r="AE14" s="80">
        <v>47</v>
      </c>
      <c r="AF14" s="89">
        <v>681</v>
      </c>
      <c r="AG14" s="78" t="s">
        <v>63</v>
      </c>
      <c r="AH14" s="80">
        <v>48</v>
      </c>
    </row>
    <row r="15" spans="1:226" ht="15.6" customHeight="1" x14ac:dyDescent="0.2">
      <c r="A15" s="72" t="s">
        <v>139</v>
      </c>
      <c r="B15" s="144">
        <v>961</v>
      </c>
      <c r="C15" s="134" t="s">
        <v>173</v>
      </c>
      <c r="D15" s="155">
        <v>62</v>
      </c>
      <c r="E15" s="51">
        <v>934</v>
      </c>
      <c r="F15" s="75" t="s">
        <v>63</v>
      </c>
      <c r="G15" s="60">
        <v>69</v>
      </c>
      <c r="H15" s="51">
        <v>842</v>
      </c>
      <c r="I15" s="75" t="s">
        <v>63</v>
      </c>
      <c r="J15" s="60">
        <v>64</v>
      </c>
      <c r="K15" s="51">
        <v>899</v>
      </c>
      <c r="L15" s="75" t="s">
        <v>63</v>
      </c>
      <c r="M15" s="60">
        <v>57</v>
      </c>
      <c r="N15" s="51">
        <v>929</v>
      </c>
      <c r="O15" s="75" t="s">
        <v>63</v>
      </c>
      <c r="P15" s="60">
        <v>53</v>
      </c>
      <c r="Q15" s="51">
        <v>931</v>
      </c>
      <c r="R15" s="75" t="s">
        <v>63</v>
      </c>
      <c r="S15" s="60">
        <v>55</v>
      </c>
      <c r="T15" s="51">
        <v>966</v>
      </c>
      <c r="U15" s="75" t="s">
        <v>63</v>
      </c>
      <c r="V15" s="60">
        <v>40</v>
      </c>
      <c r="W15" s="51">
        <v>938</v>
      </c>
      <c r="X15" s="75" t="s">
        <v>63</v>
      </c>
      <c r="Y15" s="60">
        <v>36</v>
      </c>
      <c r="Z15" s="51">
        <v>903</v>
      </c>
      <c r="AA15" s="75" t="s">
        <v>63</v>
      </c>
      <c r="AB15" s="60">
        <v>37</v>
      </c>
      <c r="AC15" s="51">
        <v>926</v>
      </c>
      <c r="AD15" s="75" t="s">
        <v>63</v>
      </c>
      <c r="AE15" s="60">
        <v>36</v>
      </c>
      <c r="AF15" s="51">
        <v>907</v>
      </c>
      <c r="AG15" s="75" t="s">
        <v>63</v>
      </c>
      <c r="AH15" s="60">
        <v>36</v>
      </c>
    </row>
    <row r="16" spans="1:226" ht="15.6" customHeight="1" x14ac:dyDescent="0.2">
      <c r="A16" s="72" t="s">
        <v>140</v>
      </c>
      <c r="B16" s="144">
        <v>337</v>
      </c>
      <c r="C16" s="134" t="s">
        <v>173</v>
      </c>
      <c r="D16" s="155">
        <v>30</v>
      </c>
      <c r="E16" s="51">
        <v>380</v>
      </c>
      <c r="F16" s="75" t="s">
        <v>63</v>
      </c>
      <c r="G16" s="60">
        <v>35</v>
      </c>
      <c r="H16" s="57">
        <v>402</v>
      </c>
      <c r="I16" s="75" t="s">
        <v>66</v>
      </c>
      <c r="J16" s="60">
        <v>40</v>
      </c>
      <c r="K16" s="51">
        <v>357</v>
      </c>
      <c r="L16" s="75" t="s">
        <v>63</v>
      </c>
      <c r="M16" s="60">
        <v>35</v>
      </c>
      <c r="N16" s="51">
        <v>320</v>
      </c>
      <c r="O16" s="75" t="s">
        <v>63</v>
      </c>
      <c r="P16" s="60">
        <v>27</v>
      </c>
      <c r="Q16" s="57">
        <v>342</v>
      </c>
      <c r="R16" s="75" t="s">
        <v>66</v>
      </c>
      <c r="S16" s="60">
        <v>34</v>
      </c>
      <c r="T16" s="51">
        <v>331</v>
      </c>
      <c r="U16" s="75" t="s">
        <v>63</v>
      </c>
      <c r="V16" s="60">
        <v>26</v>
      </c>
      <c r="W16" s="51">
        <v>350</v>
      </c>
      <c r="X16" s="75" t="s">
        <v>63</v>
      </c>
      <c r="Y16" s="60">
        <v>25</v>
      </c>
      <c r="Z16" s="51">
        <v>370</v>
      </c>
      <c r="AA16" s="75" t="s">
        <v>63</v>
      </c>
      <c r="AB16" s="60">
        <v>27</v>
      </c>
      <c r="AC16" s="51">
        <v>326</v>
      </c>
      <c r="AD16" s="75" t="s">
        <v>63</v>
      </c>
      <c r="AE16" s="60">
        <v>26</v>
      </c>
      <c r="AF16" s="51">
        <v>357</v>
      </c>
      <c r="AG16" s="75" t="s">
        <v>63</v>
      </c>
      <c r="AH16" s="60">
        <v>27</v>
      </c>
    </row>
    <row r="17" spans="1:34" ht="15.6" customHeight="1" x14ac:dyDescent="0.2">
      <c r="A17" s="72" t="s">
        <v>141</v>
      </c>
      <c r="B17" s="144">
        <v>365</v>
      </c>
      <c r="C17" s="134" t="s">
        <v>173</v>
      </c>
      <c r="D17" s="155">
        <v>33</v>
      </c>
      <c r="E17" s="57">
        <v>323</v>
      </c>
      <c r="F17" s="75" t="s">
        <v>66</v>
      </c>
      <c r="G17" s="60">
        <v>36</v>
      </c>
      <c r="H17" s="57">
        <v>339</v>
      </c>
      <c r="I17" s="75" t="s">
        <v>66</v>
      </c>
      <c r="J17" s="60">
        <v>36</v>
      </c>
      <c r="K17" s="51">
        <v>317</v>
      </c>
      <c r="L17" s="75" t="s">
        <v>63</v>
      </c>
      <c r="M17" s="60">
        <v>29</v>
      </c>
      <c r="N17" s="51">
        <v>340</v>
      </c>
      <c r="O17" s="75" t="s">
        <v>63</v>
      </c>
      <c r="P17" s="60">
        <v>29</v>
      </c>
      <c r="Q17" s="51">
        <v>322</v>
      </c>
      <c r="R17" s="75" t="s">
        <v>63</v>
      </c>
      <c r="S17" s="60">
        <v>27</v>
      </c>
      <c r="T17" s="51">
        <v>309</v>
      </c>
      <c r="U17" s="75" t="s">
        <v>63</v>
      </c>
      <c r="V17" s="60">
        <v>21</v>
      </c>
      <c r="W17" s="51">
        <v>302</v>
      </c>
      <c r="X17" s="75" t="s">
        <v>63</v>
      </c>
      <c r="Y17" s="60">
        <v>21</v>
      </c>
      <c r="Z17" s="51">
        <v>292</v>
      </c>
      <c r="AA17" s="75" t="s">
        <v>63</v>
      </c>
      <c r="AB17" s="60">
        <v>21</v>
      </c>
      <c r="AC17" s="51">
        <v>318</v>
      </c>
      <c r="AD17" s="75" t="s">
        <v>63</v>
      </c>
      <c r="AE17" s="60">
        <v>23</v>
      </c>
      <c r="AF17" s="51">
        <v>287</v>
      </c>
      <c r="AG17" s="75" t="s">
        <v>63</v>
      </c>
      <c r="AH17" s="60">
        <v>21</v>
      </c>
    </row>
    <row r="18" spans="1:34" ht="15.6" customHeight="1" x14ac:dyDescent="0.2">
      <c r="A18" s="72" t="s">
        <v>142</v>
      </c>
      <c r="B18" s="129">
        <v>84</v>
      </c>
      <c r="C18" s="134" t="s">
        <v>174</v>
      </c>
      <c r="D18" s="155">
        <v>17</v>
      </c>
      <c r="E18" s="62">
        <v>87</v>
      </c>
      <c r="F18" s="75" t="s">
        <v>69</v>
      </c>
      <c r="G18" s="60">
        <v>23</v>
      </c>
      <c r="H18" s="62">
        <v>86</v>
      </c>
      <c r="I18" s="75" t="s">
        <v>69</v>
      </c>
      <c r="J18" s="60">
        <v>21</v>
      </c>
      <c r="K18" s="57">
        <v>93</v>
      </c>
      <c r="L18" s="75" t="s">
        <v>66</v>
      </c>
      <c r="M18" s="60">
        <v>18</v>
      </c>
      <c r="N18" s="57">
        <v>90</v>
      </c>
      <c r="O18" s="75" t="s">
        <v>66</v>
      </c>
      <c r="P18" s="60">
        <v>16</v>
      </c>
      <c r="Q18" s="57">
        <v>104</v>
      </c>
      <c r="R18" s="75" t="s">
        <v>66</v>
      </c>
      <c r="S18" s="60">
        <v>17</v>
      </c>
      <c r="T18" s="57">
        <v>86</v>
      </c>
      <c r="U18" s="75" t="s">
        <v>66</v>
      </c>
      <c r="V18" s="60">
        <v>13</v>
      </c>
      <c r="W18" s="57">
        <v>88</v>
      </c>
      <c r="X18" s="75" t="s">
        <v>66</v>
      </c>
      <c r="Y18" s="60">
        <v>13</v>
      </c>
      <c r="Z18" s="57">
        <v>100</v>
      </c>
      <c r="AA18" s="75" t="s">
        <v>66</v>
      </c>
      <c r="AB18" s="60">
        <v>14</v>
      </c>
      <c r="AC18" s="57">
        <v>94</v>
      </c>
      <c r="AD18" s="75" t="s">
        <v>66</v>
      </c>
      <c r="AE18" s="60">
        <v>13</v>
      </c>
      <c r="AF18" s="57">
        <v>92</v>
      </c>
      <c r="AG18" s="75" t="s">
        <v>66</v>
      </c>
      <c r="AH18" s="60">
        <v>13</v>
      </c>
    </row>
    <row r="19" spans="1:34" ht="15.6" customHeight="1" x14ac:dyDescent="0.2">
      <c r="A19" s="72" t="s">
        <v>143</v>
      </c>
      <c r="B19" s="129">
        <v>40</v>
      </c>
      <c r="C19" s="134" t="s">
        <v>174</v>
      </c>
      <c r="D19" s="127">
        <v>12</v>
      </c>
      <c r="E19" s="58">
        <v>34</v>
      </c>
      <c r="F19" s="75" t="s">
        <v>72</v>
      </c>
      <c r="G19" s="60">
        <v>14</v>
      </c>
      <c r="H19" s="58">
        <v>43</v>
      </c>
      <c r="I19" s="75" t="s">
        <v>72</v>
      </c>
      <c r="J19" s="60">
        <v>19</v>
      </c>
      <c r="K19" s="62">
        <v>42</v>
      </c>
      <c r="L19" s="75" t="s">
        <v>69</v>
      </c>
      <c r="M19" s="60">
        <v>13</v>
      </c>
      <c r="N19" s="62">
        <v>39</v>
      </c>
      <c r="O19" s="75" t="s">
        <v>69</v>
      </c>
      <c r="P19" s="60">
        <v>12</v>
      </c>
      <c r="Q19" s="62">
        <v>23</v>
      </c>
      <c r="R19" s="75" t="s">
        <v>69</v>
      </c>
      <c r="S19" s="60">
        <v>9</v>
      </c>
      <c r="T19" s="62">
        <v>30</v>
      </c>
      <c r="U19" s="75" t="s">
        <v>69</v>
      </c>
      <c r="V19" s="60">
        <v>8</v>
      </c>
      <c r="W19" s="62">
        <v>30</v>
      </c>
      <c r="X19" s="75" t="s">
        <v>69</v>
      </c>
      <c r="Y19" s="60">
        <v>7</v>
      </c>
      <c r="Z19" s="62">
        <v>32</v>
      </c>
      <c r="AA19" s="75" t="s">
        <v>69</v>
      </c>
      <c r="AB19" s="60">
        <v>7</v>
      </c>
      <c r="AC19" s="62">
        <v>36</v>
      </c>
      <c r="AD19" s="75" t="s">
        <v>69</v>
      </c>
      <c r="AE19" s="60">
        <v>8</v>
      </c>
      <c r="AF19" s="62">
        <v>31</v>
      </c>
      <c r="AG19" s="75" t="s">
        <v>69</v>
      </c>
      <c r="AH19" s="60">
        <v>8</v>
      </c>
    </row>
    <row r="20" spans="1:34" ht="15.6" customHeight="1" x14ac:dyDescent="0.2">
      <c r="A20" s="66" t="s">
        <v>144</v>
      </c>
      <c r="B20" s="129">
        <v>36</v>
      </c>
      <c r="C20" s="134" t="s">
        <v>174</v>
      </c>
      <c r="D20" s="127">
        <v>11</v>
      </c>
      <c r="E20" s="58">
        <v>23</v>
      </c>
      <c r="F20" s="75" t="s">
        <v>72</v>
      </c>
      <c r="G20" s="60">
        <v>12</v>
      </c>
      <c r="H20" s="58">
        <v>33</v>
      </c>
      <c r="I20" s="75" t="s">
        <v>72</v>
      </c>
      <c r="J20" s="60">
        <v>15</v>
      </c>
      <c r="K20" s="62">
        <v>30</v>
      </c>
      <c r="L20" s="75" t="s">
        <v>69</v>
      </c>
      <c r="M20" s="60">
        <v>12</v>
      </c>
      <c r="N20" s="62">
        <v>26</v>
      </c>
      <c r="O20" s="75" t="s">
        <v>69</v>
      </c>
      <c r="P20" s="60">
        <v>10</v>
      </c>
      <c r="Q20" s="58">
        <v>14</v>
      </c>
      <c r="R20" s="75" t="s">
        <v>72</v>
      </c>
      <c r="S20" s="60">
        <v>7</v>
      </c>
      <c r="T20" s="62">
        <v>21</v>
      </c>
      <c r="U20" s="75" t="s">
        <v>69</v>
      </c>
      <c r="V20" s="60">
        <v>7</v>
      </c>
      <c r="W20" s="62">
        <v>23</v>
      </c>
      <c r="X20" s="75" t="s">
        <v>69</v>
      </c>
      <c r="Y20" s="60">
        <v>7</v>
      </c>
      <c r="Z20" s="62">
        <v>23</v>
      </c>
      <c r="AA20" s="75" t="s">
        <v>69</v>
      </c>
      <c r="AB20" s="60">
        <v>7</v>
      </c>
      <c r="AC20" s="62">
        <v>28</v>
      </c>
      <c r="AD20" s="75" t="s">
        <v>69</v>
      </c>
      <c r="AE20" s="60">
        <v>8</v>
      </c>
      <c r="AF20" s="62">
        <v>25</v>
      </c>
      <c r="AG20" s="75" t="s">
        <v>69</v>
      </c>
      <c r="AH20" s="60">
        <v>7</v>
      </c>
    </row>
    <row r="21" spans="1:34" ht="15.6" customHeight="1" x14ac:dyDescent="0.2">
      <c r="A21" s="67" t="s">
        <v>145</v>
      </c>
      <c r="B21" s="130">
        <v>4</v>
      </c>
      <c r="C21" s="134" t="s">
        <v>175</v>
      </c>
      <c r="D21" s="127">
        <v>4</v>
      </c>
      <c r="E21" s="160">
        <v>11</v>
      </c>
      <c r="F21" s="157" t="s">
        <v>72</v>
      </c>
      <c r="G21" s="90">
        <v>9</v>
      </c>
      <c r="H21" s="160">
        <v>10</v>
      </c>
      <c r="I21" s="157" t="s">
        <v>72</v>
      </c>
      <c r="J21" s="90">
        <v>12</v>
      </c>
      <c r="K21" s="160">
        <v>12</v>
      </c>
      <c r="L21" s="157" t="s">
        <v>72</v>
      </c>
      <c r="M21" s="90">
        <v>8</v>
      </c>
      <c r="N21" s="160">
        <v>13</v>
      </c>
      <c r="O21" s="157" t="s">
        <v>72</v>
      </c>
      <c r="P21" s="90">
        <v>8</v>
      </c>
      <c r="Q21" s="160">
        <v>9</v>
      </c>
      <c r="R21" s="157" t="s">
        <v>72</v>
      </c>
      <c r="S21" s="90">
        <v>6</v>
      </c>
      <c r="T21" s="160">
        <v>9</v>
      </c>
      <c r="U21" s="157" t="s">
        <v>72</v>
      </c>
      <c r="V21" s="90">
        <v>4</v>
      </c>
      <c r="W21" s="160">
        <v>7</v>
      </c>
      <c r="X21" s="157" t="s">
        <v>72</v>
      </c>
      <c r="Y21" s="90">
        <v>4</v>
      </c>
      <c r="Z21" s="160">
        <v>9</v>
      </c>
      <c r="AA21" s="157" t="s">
        <v>72</v>
      </c>
      <c r="AB21" s="90">
        <v>4</v>
      </c>
      <c r="AC21" s="160">
        <v>8</v>
      </c>
      <c r="AD21" s="157" t="s">
        <v>72</v>
      </c>
      <c r="AE21" s="90">
        <v>4</v>
      </c>
      <c r="AF21" s="160">
        <v>7</v>
      </c>
      <c r="AG21" s="157" t="s">
        <v>72</v>
      </c>
      <c r="AH21" s="90">
        <v>4</v>
      </c>
    </row>
    <row r="22" spans="1:34" ht="15.6" customHeight="1" x14ac:dyDescent="0.2">
      <c r="A22" s="98" t="s">
        <v>147</v>
      </c>
      <c r="B22" s="145">
        <v>2565</v>
      </c>
      <c r="C22" s="135" t="s">
        <v>173</v>
      </c>
      <c r="D22" s="132">
        <v>63</v>
      </c>
      <c r="E22" s="48">
        <v>2535</v>
      </c>
      <c r="F22" s="157" t="s">
        <v>63</v>
      </c>
      <c r="G22" s="48">
        <v>74</v>
      </c>
      <c r="H22" s="49">
        <v>2386</v>
      </c>
      <c r="I22" s="157" t="s">
        <v>63</v>
      </c>
      <c r="J22" s="90">
        <v>72</v>
      </c>
      <c r="K22" s="48">
        <v>2437</v>
      </c>
      <c r="L22" s="157" t="s">
        <v>63</v>
      </c>
      <c r="M22" s="90">
        <v>67</v>
      </c>
      <c r="N22" s="49">
        <v>2424</v>
      </c>
      <c r="O22" s="157" t="s">
        <v>63</v>
      </c>
      <c r="P22" s="90">
        <v>54</v>
      </c>
      <c r="Q22" s="48">
        <v>2432</v>
      </c>
      <c r="R22" s="157" t="s">
        <v>63</v>
      </c>
      <c r="S22" s="48">
        <v>63</v>
      </c>
      <c r="T22" s="49">
        <v>2467</v>
      </c>
      <c r="U22" s="157" t="s">
        <v>63</v>
      </c>
      <c r="V22" s="90">
        <v>32</v>
      </c>
      <c r="W22" s="48">
        <v>2437</v>
      </c>
      <c r="X22" s="157" t="s">
        <v>63</v>
      </c>
      <c r="Y22" s="90">
        <v>30</v>
      </c>
      <c r="Z22" s="48">
        <v>2367</v>
      </c>
      <c r="AA22" s="157" t="s">
        <v>63</v>
      </c>
      <c r="AB22" s="90">
        <v>29</v>
      </c>
      <c r="AC22" s="48">
        <v>2317</v>
      </c>
      <c r="AD22" s="157" t="s">
        <v>63</v>
      </c>
      <c r="AE22" s="90">
        <v>29</v>
      </c>
      <c r="AF22" s="48">
        <v>2355</v>
      </c>
      <c r="AG22" s="157" t="s">
        <v>63</v>
      </c>
      <c r="AH22" s="90">
        <v>30</v>
      </c>
    </row>
    <row r="23" spans="1:34" ht="15.6" customHeight="1" x14ac:dyDescent="0.2">
      <c r="A23" s="73" t="s">
        <v>148</v>
      </c>
      <c r="B23" s="143">
        <v>2.27</v>
      </c>
      <c r="C23" s="136" t="s">
        <v>173</v>
      </c>
      <c r="D23" s="123">
        <v>0.06</v>
      </c>
      <c r="E23" s="137">
        <v>2.2599999999999998</v>
      </c>
      <c r="F23" s="47" t="s">
        <v>63</v>
      </c>
      <c r="G23" s="137">
        <v>7.0000000000000007E-2</v>
      </c>
      <c r="H23" s="138">
        <v>2.36</v>
      </c>
      <c r="I23" s="47" t="s">
        <v>63</v>
      </c>
      <c r="J23" s="139">
        <v>7.0000000000000007E-2</v>
      </c>
      <c r="K23" s="137">
        <v>2.2999999999999998</v>
      </c>
      <c r="L23" s="47" t="s">
        <v>63</v>
      </c>
      <c r="M23" s="139">
        <v>0.06</v>
      </c>
      <c r="N23" s="137">
        <v>2.2999999999999998</v>
      </c>
      <c r="O23" s="47" t="s">
        <v>63</v>
      </c>
      <c r="P23" s="139">
        <v>0.05</v>
      </c>
      <c r="Q23" s="137">
        <v>2.29</v>
      </c>
      <c r="R23" s="47" t="s">
        <v>63</v>
      </c>
      <c r="S23" s="137">
        <v>0.06</v>
      </c>
      <c r="T23" s="138">
        <v>2.2400000000000002</v>
      </c>
      <c r="U23" s="47" t="s">
        <v>63</v>
      </c>
      <c r="V23" s="139">
        <v>0.03</v>
      </c>
      <c r="W23" s="137">
        <v>2.25</v>
      </c>
      <c r="X23" s="47" t="s">
        <v>63</v>
      </c>
      <c r="Y23" s="139">
        <v>0.03</v>
      </c>
      <c r="Z23" s="137">
        <v>2.31</v>
      </c>
      <c r="AA23" s="47" t="s">
        <v>63</v>
      </c>
      <c r="AB23" s="139">
        <v>0.03</v>
      </c>
      <c r="AC23" s="137">
        <v>2.34</v>
      </c>
      <c r="AD23" s="47" t="s">
        <v>63</v>
      </c>
      <c r="AE23" s="139">
        <v>0.03</v>
      </c>
      <c r="AF23" s="137">
        <v>2.2799999999999998</v>
      </c>
      <c r="AG23" s="47" t="s">
        <v>63</v>
      </c>
      <c r="AH23" s="139">
        <v>0.03</v>
      </c>
    </row>
    <row r="24" spans="1:34" ht="15.6" customHeight="1" x14ac:dyDescent="0.2"/>
    <row r="25" spans="1:34" ht="15" customHeight="1" x14ac:dyDescent="0.2"/>
  </sheetData>
  <hyperlinks>
    <hyperlink ref="A10" r:id="rId1" xr:uid="{00000000-0004-0000-0C00-000000000000}"/>
    <hyperlink ref="A11" r:id="rId2" xr:uid="{00000000-0004-0000-0C00-000001000000}"/>
    <hyperlink ref="A12" r:id="rId3" xr:uid="{00000000-0004-0000-0C00-000002000000}"/>
  </hyperlinks>
  <pageMargins left="0.7" right="0.7" top="0.75" bottom="0.75" header="0.3" footer="0.3"/>
  <pageSetup paperSize="9" orientation="portrait"/>
  <tableParts count="1">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HQ26"/>
  <sheetViews>
    <sheetView showGridLines="0" zoomScaleNormal="100" workbookViewId="0"/>
  </sheetViews>
  <sheetFormatPr defaultColWidth="10.88671875" defaultRowHeight="15" x14ac:dyDescent="0.2"/>
  <cols>
    <col min="1" max="1" width="55.6640625" customWidth="1"/>
    <col min="2" max="2" width="13.109375" bestFit="1" customWidth="1"/>
    <col min="3" max="3" width="8.21875" bestFit="1" customWidth="1"/>
    <col min="4" max="4" width="9.44140625" bestFit="1" customWidth="1"/>
    <col min="5" max="5" width="13.109375" bestFit="1" customWidth="1"/>
    <col min="6" max="6" width="8.21875" bestFit="1" customWidth="1"/>
    <col min="7" max="7" width="9.44140625" bestFit="1" customWidth="1"/>
    <col min="8" max="8" width="13.109375" bestFit="1" customWidth="1"/>
    <col min="9" max="9" width="8.21875" bestFit="1" customWidth="1"/>
    <col min="10" max="10" width="9.44140625" bestFit="1" customWidth="1"/>
    <col min="11" max="11" width="13.109375" bestFit="1" customWidth="1"/>
    <col min="12" max="12" width="8.21875" bestFit="1" customWidth="1"/>
    <col min="13" max="13" width="9.44140625" bestFit="1" customWidth="1"/>
    <col min="14" max="14" width="13.109375" bestFit="1" customWidth="1"/>
    <col min="15" max="15" width="8.21875" bestFit="1" customWidth="1"/>
    <col min="16" max="16" width="9.44140625" bestFit="1" customWidth="1"/>
    <col min="17" max="17" width="13.109375" bestFit="1" customWidth="1"/>
    <col min="18" max="18" width="8.21875" bestFit="1" customWidth="1"/>
    <col min="19" max="19" width="9.44140625" bestFit="1" customWidth="1"/>
    <col min="20" max="20" width="13.109375" bestFit="1" customWidth="1"/>
    <col min="21" max="21" width="8.21875" bestFit="1" customWidth="1"/>
    <col min="22" max="22" width="9.44140625" bestFit="1" customWidth="1"/>
    <col min="23" max="23" width="13.109375" bestFit="1" customWidth="1"/>
    <col min="24" max="24" width="8.21875" bestFit="1" customWidth="1"/>
    <col min="25" max="25" width="9.44140625" bestFit="1" customWidth="1"/>
    <col min="26" max="26" width="13.109375" bestFit="1" customWidth="1"/>
    <col min="27" max="27" width="8.21875" bestFit="1" customWidth="1"/>
    <col min="28" max="28" width="9.44140625" bestFit="1" customWidth="1"/>
    <col min="29" max="29" width="13.109375" bestFit="1" customWidth="1"/>
    <col min="30" max="30" width="8.21875" bestFit="1" customWidth="1"/>
    <col min="31" max="31" width="9.44140625" bestFit="1" customWidth="1"/>
    <col min="32" max="32" width="13.109375" bestFit="1" customWidth="1"/>
    <col min="33" max="33" width="8.21875" bestFit="1" customWidth="1"/>
    <col min="34" max="34" width="9.44140625" bestFit="1" customWidth="1"/>
  </cols>
  <sheetData>
    <row r="1" spans="1:225" ht="19.899999999999999" customHeight="1" x14ac:dyDescent="0.3">
      <c r="A1" s="193" t="s">
        <v>0</v>
      </c>
    </row>
    <row r="2" spans="1:225" ht="31.15" customHeight="1" x14ac:dyDescent="0.2">
      <c r="A2" s="194" t="s">
        <v>165</v>
      </c>
    </row>
    <row r="3" spans="1:225" ht="15.4" customHeight="1" x14ac:dyDescent="0.2">
      <c r="A3" s="101" t="s">
        <v>166</v>
      </c>
    </row>
    <row r="4" spans="1:225" ht="15.4" customHeight="1" x14ac:dyDescent="0.2">
      <c r="A4" s="101" t="s">
        <v>98</v>
      </c>
    </row>
    <row r="5" spans="1:225" ht="15.6" customHeight="1" x14ac:dyDescent="0.2">
      <c r="A5" s="101" t="s">
        <v>99</v>
      </c>
    </row>
    <row r="6" spans="1:225" ht="15.6" customHeight="1" x14ac:dyDescent="0.2">
      <c r="A6" s="101" t="s">
        <v>179</v>
      </c>
    </row>
    <row r="7" spans="1:225" ht="15.6" customHeight="1" x14ac:dyDescent="0.2">
      <c r="A7" s="101" t="s">
        <v>180</v>
      </c>
    </row>
    <row r="8" spans="1:225" ht="15.4" customHeight="1" x14ac:dyDescent="0.25">
      <c r="A8" s="101" t="s">
        <v>181</v>
      </c>
      <c r="B8" s="81"/>
      <c r="C8" s="81"/>
      <c r="D8" s="81"/>
      <c r="E8" s="81"/>
      <c r="F8" s="81"/>
      <c r="G8" s="81"/>
      <c r="H8" s="81"/>
      <c r="I8" s="81"/>
      <c r="J8" s="81"/>
      <c r="K8" s="81"/>
      <c r="L8" s="81"/>
      <c r="M8" s="81"/>
      <c r="N8" s="81"/>
      <c r="O8" s="81"/>
      <c r="P8" s="81"/>
      <c r="Q8" s="81"/>
      <c r="R8" s="81"/>
      <c r="S8" s="81"/>
      <c r="T8" s="81"/>
      <c r="U8" s="81"/>
      <c r="V8" s="81"/>
      <c r="W8" s="81"/>
      <c r="X8" s="81"/>
      <c r="Y8" s="82"/>
      <c r="Z8" s="82"/>
      <c r="AA8" s="82"/>
      <c r="AB8" s="82"/>
      <c r="AC8" s="82"/>
      <c r="AD8" s="82"/>
      <c r="AE8" s="82"/>
      <c r="AF8" s="82"/>
      <c r="AG8" s="82"/>
      <c r="AH8" s="82"/>
      <c r="AI8" s="82"/>
      <c r="AJ8" s="82"/>
      <c r="AK8" s="82"/>
      <c r="AL8" s="82"/>
      <c r="AM8" s="82"/>
      <c r="AN8" s="82"/>
      <c r="AO8" s="82"/>
      <c r="AP8" s="82"/>
      <c r="AQ8" s="82"/>
      <c r="AR8" s="82"/>
      <c r="AS8" s="82"/>
      <c r="AT8" s="82"/>
      <c r="AU8" s="82"/>
      <c r="AV8" s="82"/>
      <c r="AW8" s="82"/>
      <c r="AX8" s="82"/>
      <c r="AY8" s="82"/>
      <c r="AZ8" s="82"/>
      <c r="BA8" s="82"/>
      <c r="BB8" s="82"/>
      <c r="BC8" s="82"/>
      <c r="BD8" s="82"/>
      <c r="BE8" s="82"/>
      <c r="BF8" s="82"/>
      <c r="BG8" s="82"/>
      <c r="BH8" s="82"/>
      <c r="BI8" s="82"/>
      <c r="BJ8" s="82"/>
      <c r="BK8" s="82"/>
      <c r="BL8" s="82"/>
      <c r="BM8" s="82"/>
      <c r="BN8" s="82"/>
      <c r="BO8" s="82"/>
      <c r="BP8" s="82"/>
      <c r="BQ8" s="82"/>
      <c r="BR8" s="82"/>
      <c r="BS8" s="82"/>
      <c r="BT8" s="82"/>
      <c r="BU8" s="82"/>
      <c r="BV8" s="82"/>
      <c r="BW8" s="82"/>
      <c r="BX8" s="82"/>
      <c r="BY8" s="82"/>
      <c r="BZ8" s="82"/>
      <c r="CA8" s="82"/>
      <c r="CB8" s="82"/>
      <c r="CC8" s="82"/>
      <c r="CD8" s="82"/>
      <c r="CE8" s="82"/>
      <c r="CF8" s="82"/>
      <c r="CG8" s="82"/>
      <c r="CH8" s="82"/>
      <c r="CI8" s="82"/>
      <c r="CJ8" s="82"/>
      <c r="CK8" s="82"/>
      <c r="CL8" s="82"/>
      <c r="CM8" s="82"/>
      <c r="CN8" s="82"/>
      <c r="CO8" s="82"/>
      <c r="CP8" s="82"/>
      <c r="CQ8" s="82"/>
      <c r="CR8" s="82"/>
      <c r="CS8" s="82"/>
      <c r="CT8" s="82"/>
      <c r="CU8" s="82"/>
      <c r="CV8" s="82"/>
      <c r="CW8" s="82"/>
      <c r="CX8" s="82"/>
      <c r="CY8" s="82"/>
      <c r="CZ8" s="82"/>
      <c r="DA8" s="82"/>
      <c r="DB8" s="82"/>
      <c r="DC8" s="82"/>
      <c r="DD8" s="82"/>
      <c r="DE8" s="82"/>
      <c r="DF8" s="82"/>
      <c r="DG8" s="82"/>
      <c r="DH8" s="82"/>
      <c r="DI8" s="82"/>
      <c r="DJ8" s="82"/>
      <c r="DK8" s="82"/>
      <c r="DL8" s="82"/>
      <c r="DM8" s="82"/>
      <c r="DN8" s="82"/>
      <c r="DO8" s="82"/>
      <c r="DP8" s="82"/>
      <c r="DQ8" s="82"/>
      <c r="DR8" s="82"/>
      <c r="DS8" s="82"/>
      <c r="DT8" s="82"/>
      <c r="DU8" s="82"/>
      <c r="DV8" s="82"/>
      <c r="DW8" s="82"/>
      <c r="DX8" s="82"/>
      <c r="DY8" s="82"/>
      <c r="DZ8" s="82"/>
      <c r="EA8" s="82"/>
      <c r="EB8" s="82"/>
      <c r="EC8" s="82"/>
      <c r="ED8" s="82"/>
      <c r="EE8" s="82"/>
      <c r="EF8" s="82"/>
      <c r="EG8" s="82"/>
      <c r="EH8" s="82"/>
      <c r="EI8" s="82"/>
      <c r="EJ8" s="82"/>
      <c r="EK8" s="82"/>
      <c r="EL8" s="82"/>
      <c r="EM8" s="82"/>
      <c r="EN8" s="82"/>
      <c r="EO8" s="82"/>
      <c r="EP8" s="82"/>
      <c r="EQ8" s="82"/>
      <c r="ER8" s="82"/>
      <c r="ES8" s="82"/>
      <c r="ET8" s="82"/>
      <c r="EU8" s="82"/>
      <c r="EV8" s="82"/>
      <c r="EW8" s="82"/>
      <c r="EX8" s="82"/>
      <c r="EY8" s="82"/>
      <c r="EZ8" s="82"/>
      <c r="FA8" s="82"/>
      <c r="FB8" s="82"/>
      <c r="FC8" s="82"/>
      <c r="FD8" s="82"/>
      <c r="FE8" s="82"/>
      <c r="FF8" s="82"/>
      <c r="FG8" s="82"/>
      <c r="FH8" s="82"/>
      <c r="FI8" s="82"/>
      <c r="FJ8" s="82"/>
      <c r="FK8" s="82"/>
      <c r="FL8" s="82"/>
      <c r="FM8" s="82"/>
      <c r="FN8" s="82"/>
      <c r="FO8" s="82"/>
      <c r="FP8" s="82"/>
      <c r="FQ8" s="82"/>
      <c r="FR8" s="82"/>
      <c r="FS8" s="82"/>
      <c r="FT8" s="82"/>
      <c r="FU8" s="82"/>
      <c r="FV8" s="82"/>
      <c r="FW8" s="82"/>
      <c r="FX8" s="82"/>
      <c r="FY8" s="82"/>
      <c r="FZ8" s="82"/>
      <c r="GA8" s="82"/>
      <c r="GB8" s="82"/>
      <c r="GC8" s="82"/>
      <c r="GD8" s="82"/>
      <c r="GE8" s="82"/>
      <c r="GF8" s="82"/>
      <c r="GG8" s="82"/>
      <c r="GH8" s="82"/>
      <c r="GI8" s="82"/>
      <c r="GJ8" s="82"/>
      <c r="GK8" s="82"/>
      <c r="GL8" s="82"/>
      <c r="GM8" s="82"/>
      <c r="GN8" s="82"/>
      <c r="GO8" s="82"/>
      <c r="GP8" s="82"/>
      <c r="GQ8" s="82"/>
      <c r="GR8" s="82"/>
      <c r="GS8" s="82"/>
      <c r="GT8" s="82"/>
      <c r="GU8" s="82"/>
      <c r="GV8" s="82"/>
      <c r="GW8" s="82"/>
      <c r="GX8" s="82"/>
      <c r="GY8" s="82"/>
      <c r="GZ8" s="82"/>
      <c r="HA8" s="82"/>
      <c r="HB8" s="82"/>
      <c r="HC8" s="82"/>
      <c r="HD8" s="82"/>
      <c r="HE8" s="82"/>
      <c r="HF8" s="82"/>
      <c r="HG8" s="82"/>
      <c r="HH8" s="82"/>
      <c r="HI8" s="82"/>
      <c r="HJ8" s="82"/>
      <c r="HK8" s="82"/>
      <c r="HL8" s="82"/>
      <c r="HM8" s="82"/>
      <c r="HN8" s="82"/>
      <c r="HO8" s="82"/>
      <c r="HP8" s="82"/>
      <c r="HQ8" s="82"/>
    </row>
    <row r="9" spans="1:225" ht="31.15" customHeight="1" x14ac:dyDescent="0.2">
      <c r="A9" s="65" t="s">
        <v>100</v>
      </c>
    </row>
    <row r="10" spans="1:225" ht="15" customHeight="1" x14ac:dyDescent="0.2">
      <c r="A10" s="113" t="s">
        <v>101</v>
      </c>
    </row>
    <row r="11" spans="1:225" ht="15.4" customHeight="1" x14ac:dyDescent="0.2">
      <c r="A11" s="113" t="s">
        <v>102</v>
      </c>
    </row>
    <row r="12" spans="1:225" ht="31.15" customHeight="1" x14ac:dyDescent="0.2">
      <c r="A12" s="114" t="s">
        <v>103</v>
      </c>
    </row>
    <row r="13" spans="1:225" ht="31.15" customHeight="1" x14ac:dyDescent="0.2">
      <c r="A13" s="71" t="s">
        <v>104</v>
      </c>
      <c r="B13" s="77" t="s">
        <v>105</v>
      </c>
      <c r="C13" s="70" t="s">
        <v>106</v>
      </c>
      <c r="D13" s="74" t="s">
        <v>107</v>
      </c>
      <c r="E13" s="70" t="s">
        <v>108</v>
      </c>
      <c r="F13" s="70" t="s">
        <v>109</v>
      </c>
      <c r="G13" s="74" t="s">
        <v>110</v>
      </c>
      <c r="H13" s="77" t="s">
        <v>111</v>
      </c>
      <c r="I13" s="70" t="s">
        <v>112</v>
      </c>
      <c r="J13" s="74" t="s">
        <v>113</v>
      </c>
      <c r="K13" s="70" t="s">
        <v>114</v>
      </c>
      <c r="L13" s="70" t="s">
        <v>115</v>
      </c>
      <c r="M13" s="74" t="s">
        <v>116</v>
      </c>
      <c r="N13" s="77" t="s">
        <v>117</v>
      </c>
      <c r="O13" s="70" t="s">
        <v>118</v>
      </c>
      <c r="P13" s="74" t="s">
        <v>119</v>
      </c>
      <c r="Q13" s="77" t="s">
        <v>120</v>
      </c>
      <c r="R13" s="70" t="s">
        <v>121</v>
      </c>
      <c r="S13" s="74" t="s">
        <v>122</v>
      </c>
      <c r="T13" s="77" t="s">
        <v>123</v>
      </c>
      <c r="U13" s="70" t="s">
        <v>124</v>
      </c>
      <c r="V13" s="74" t="s">
        <v>125</v>
      </c>
      <c r="W13" s="70" t="s">
        <v>126</v>
      </c>
      <c r="X13" s="70" t="s">
        <v>127</v>
      </c>
      <c r="Y13" s="74" t="s">
        <v>128</v>
      </c>
      <c r="Z13" s="70" t="s">
        <v>129</v>
      </c>
      <c r="AA13" s="70" t="s">
        <v>130</v>
      </c>
      <c r="AB13" s="74" t="s">
        <v>131</v>
      </c>
      <c r="AC13" s="70" t="s">
        <v>132</v>
      </c>
      <c r="AD13" s="70" t="s">
        <v>133</v>
      </c>
      <c r="AE13" s="74" t="s">
        <v>134</v>
      </c>
      <c r="AF13" s="70" t="s">
        <v>135</v>
      </c>
      <c r="AG13" s="70" t="s">
        <v>136</v>
      </c>
      <c r="AH13" s="74" t="s">
        <v>137</v>
      </c>
    </row>
    <row r="14" spans="1:225" ht="15.6" customHeight="1" x14ac:dyDescent="0.2">
      <c r="A14" s="72" t="s">
        <v>138</v>
      </c>
      <c r="B14" s="144">
        <v>7024</v>
      </c>
      <c r="C14" s="134" t="s">
        <v>173</v>
      </c>
      <c r="D14" s="128">
        <v>195</v>
      </c>
      <c r="E14" s="50">
        <v>6915</v>
      </c>
      <c r="F14" s="75" t="s">
        <v>63</v>
      </c>
      <c r="G14" s="60">
        <v>212</v>
      </c>
      <c r="H14" s="51">
        <v>6856</v>
      </c>
      <c r="I14" s="75" t="s">
        <v>63</v>
      </c>
      <c r="J14" s="60">
        <v>233</v>
      </c>
      <c r="K14" s="50">
        <v>6837</v>
      </c>
      <c r="L14" s="75" t="s">
        <v>63</v>
      </c>
      <c r="M14" s="60">
        <v>192</v>
      </c>
      <c r="N14" s="50">
        <v>6757</v>
      </c>
      <c r="O14" s="75" t="s">
        <v>63</v>
      </c>
      <c r="P14" s="60">
        <v>183</v>
      </c>
      <c r="Q14" s="51">
        <v>6718</v>
      </c>
      <c r="R14" s="75" t="s">
        <v>63</v>
      </c>
      <c r="S14" s="60">
        <v>226</v>
      </c>
      <c r="T14" s="51">
        <v>6648</v>
      </c>
      <c r="U14" s="75" t="s">
        <v>63</v>
      </c>
      <c r="V14" s="60">
        <v>152</v>
      </c>
      <c r="W14" s="50">
        <v>6530</v>
      </c>
      <c r="X14" s="75" t="s">
        <v>63</v>
      </c>
      <c r="Y14" s="60">
        <v>150</v>
      </c>
      <c r="Z14" s="50">
        <v>6300</v>
      </c>
      <c r="AA14" s="75" t="s">
        <v>63</v>
      </c>
      <c r="AB14" s="60">
        <v>146</v>
      </c>
      <c r="AC14" s="50">
        <v>6301</v>
      </c>
      <c r="AD14" s="75" t="s">
        <v>63</v>
      </c>
      <c r="AE14" s="60">
        <v>143</v>
      </c>
      <c r="AF14" s="50">
        <v>6357</v>
      </c>
      <c r="AG14" s="75" t="s">
        <v>63</v>
      </c>
      <c r="AH14" s="60">
        <v>142</v>
      </c>
    </row>
    <row r="15" spans="1:225" ht="15.6" customHeight="1" x14ac:dyDescent="0.2">
      <c r="A15" s="72" t="s">
        <v>139</v>
      </c>
      <c r="B15" s="144">
        <v>8286</v>
      </c>
      <c r="C15" s="134" t="s">
        <v>173</v>
      </c>
      <c r="D15" s="128">
        <v>161</v>
      </c>
      <c r="E15" s="50">
        <v>8241</v>
      </c>
      <c r="F15" s="75" t="s">
        <v>63</v>
      </c>
      <c r="G15" s="60">
        <v>179</v>
      </c>
      <c r="H15" s="51">
        <v>8097</v>
      </c>
      <c r="I15" s="75" t="s">
        <v>63</v>
      </c>
      <c r="J15" s="60">
        <v>187</v>
      </c>
      <c r="K15" s="50">
        <v>8228</v>
      </c>
      <c r="L15" s="75" t="s">
        <v>63</v>
      </c>
      <c r="M15" s="60">
        <v>159</v>
      </c>
      <c r="N15" s="50">
        <v>8070</v>
      </c>
      <c r="O15" s="75" t="s">
        <v>63</v>
      </c>
      <c r="P15" s="60">
        <v>150</v>
      </c>
      <c r="Q15" s="51">
        <v>7881</v>
      </c>
      <c r="R15" s="75" t="s">
        <v>63</v>
      </c>
      <c r="S15" s="60">
        <v>165</v>
      </c>
      <c r="T15" s="51">
        <v>8019</v>
      </c>
      <c r="U15" s="75" t="s">
        <v>63</v>
      </c>
      <c r="V15" s="60">
        <v>121</v>
      </c>
      <c r="W15" s="50">
        <v>7930</v>
      </c>
      <c r="X15" s="75" t="s">
        <v>63</v>
      </c>
      <c r="Y15" s="60">
        <v>117</v>
      </c>
      <c r="Z15" s="50">
        <v>7771</v>
      </c>
      <c r="AA15" s="75" t="s">
        <v>63</v>
      </c>
      <c r="AB15" s="60">
        <v>115</v>
      </c>
      <c r="AC15" s="50">
        <v>7847</v>
      </c>
      <c r="AD15" s="75" t="s">
        <v>63</v>
      </c>
      <c r="AE15" s="60">
        <v>114</v>
      </c>
      <c r="AF15" s="50">
        <v>7865</v>
      </c>
      <c r="AG15" s="75" t="s">
        <v>63</v>
      </c>
      <c r="AH15" s="60">
        <v>111</v>
      </c>
    </row>
    <row r="16" spans="1:225" ht="15.6" customHeight="1" x14ac:dyDescent="0.2">
      <c r="A16" s="72" t="s">
        <v>140</v>
      </c>
      <c r="B16" s="144">
        <v>3854</v>
      </c>
      <c r="C16" s="134" t="s">
        <v>173</v>
      </c>
      <c r="D16" s="128">
        <v>113</v>
      </c>
      <c r="E16" s="50">
        <v>3831</v>
      </c>
      <c r="F16" s="75" t="s">
        <v>63</v>
      </c>
      <c r="G16" s="60">
        <v>135</v>
      </c>
      <c r="H16" s="51">
        <v>3836</v>
      </c>
      <c r="I16" s="75" t="s">
        <v>63</v>
      </c>
      <c r="J16" s="60">
        <v>147</v>
      </c>
      <c r="K16" s="50">
        <v>3587</v>
      </c>
      <c r="L16" s="75" t="s">
        <v>63</v>
      </c>
      <c r="M16" s="60">
        <v>111</v>
      </c>
      <c r="N16" s="50">
        <v>3759</v>
      </c>
      <c r="O16" s="75" t="s">
        <v>63</v>
      </c>
      <c r="P16" s="60">
        <v>104</v>
      </c>
      <c r="Q16" s="51">
        <v>3690</v>
      </c>
      <c r="R16" s="75" t="s">
        <v>63</v>
      </c>
      <c r="S16" s="60">
        <v>110</v>
      </c>
      <c r="T16" s="51">
        <v>3584</v>
      </c>
      <c r="U16" s="75" t="s">
        <v>63</v>
      </c>
      <c r="V16" s="60">
        <v>91</v>
      </c>
      <c r="W16" s="50">
        <v>3696</v>
      </c>
      <c r="X16" s="75" t="s">
        <v>63</v>
      </c>
      <c r="Y16" s="60">
        <v>89</v>
      </c>
      <c r="Z16" s="50">
        <v>3768</v>
      </c>
      <c r="AA16" s="75" t="s">
        <v>63</v>
      </c>
      <c r="AB16" s="60">
        <v>90</v>
      </c>
      <c r="AC16" s="50">
        <v>3661</v>
      </c>
      <c r="AD16" s="75" t="s">
        <v>63</v>
      </c>
      <c r="AE16" s="60">
        <v>88</v>
      </c>
      <c r="AF16" s="50">
        <v>3674</v>
      </c>
      <c r="AG16" s="75" t="s">
        <v>63</v>
      </c>
      <c r="AH16" s="60">
        <v>85</v>
      </c>
    </row>
    <row r="17" spans="1:34" ht="15.6" customHeight="1" x14ac:dyDescent="0.2">
      <c r="A17" s="72" t="s">
        <v>141</v>
      </c>
      <c r="B17" s="144">
        <v>3616</v>
      </c>
      <c r="C17" s="134" t="s">
        <v>173</v>
      </c>
      <c r="D17" s="128">
        <v>107</v>
      </c>
      <c r="E17" s="50">
        <v>3382</v>
      </c>
      <c r="F17" s="75" t="s">
        <v>63</v>
      </c>
      <c r="G17" s="60">
        <v>124</v>
      </c>
      <c r="H17" s="51">
        <v>3397</v>
      </c>
      <c r="I17" s="75" t="s">
        <v>63</v>
      </c>
      <c r="J17" s="60">
        <v>135</v>
      </c>
      <c r="K17" s="50">
        <v>3417</v>
      </c>
      <c r="L17" s="75" t="s">
        <v>63</v>
      </c>
      <c r="M17" s="60">
        <v>107</v>
      </c>
      <c r="N17" s="50">
        <v>3419</v>
      </c>
      <c r="O17" s="75" t="s">
        <v>63</v>
      </c>
      <c r="P17" s="60">
        <v>102</v>
      </c>
      <c r="Q17" s="51">
        <v>3506</v>
      </c>
      <c r="R17" s="75" t="s">
        <v>63</v>
      </c>
      <c r="S17" s="60">
        <v>103</v>
      </c>
      <c r="T17" s="51">
        <v>3315</v>
      </c>
      <c r="U17" s="75" t="s">
        <v>63</v>
      </c>
      <c r="V17" s="60">
        <v>81</v>
      </c>
      <c r="W17" s="50">
        <v>3286</v>
      </c>
      <c r="X17" s="75" t="s">
        <v>63</v>
      </c>
      <c r="Y17" s="60">
        <v>77</v>
      </c>
      <c r="Z17" s="50">
        <v>3232</v>
      </c>
      <c r="AA17" s="75" t="s">
        <v>63</v>
      </c>
      <c r="AB17" s="60">
        <v>76</v>
      </c>
      <c r="AC17" s="50">
        <v>3283</v>
      </c>
      <c r="AD17" s="75" t="s">
        <v>63</v>
      </c>
      <c r="AE17" s="60">
        <v>75</v>
      </c>
      <c r="AF17" s="50">
        <v>3211</v>
      </c>
      <c r="AG17" s="75" t="s">
        <v>63</v>
      </c>
      <c r="AH17" s="60">
        <v>72</v>
      </c>
    </row>
    <row r="18" spans="1:34" ht="15.6" customHeight="1" x14ac:dyDescent="0.2">
      <c r="A18" s="72" t="s">
        <v>142</v>
      </c>
      <c r="B18" s="144">
        <v>1085</v>
      </c>
      <c r="C18" s="134" t="s">
        <v>173</v>
      </c>
      <c r="D18" s="128">
        <v>72</v>
      </c>
      <c r="E18" s="50">
        <v>1173</v>
      </c>
      <c r="F18" s="75" t="s">
        <v>63</v>
      </c>
      <c r="G18" s="60">
        <v>84</v>
      </c>
      <c r="H18" s="51">
        <v>1064</v>
      </c>
      <c r="I18" s="75" t="s">
        <v>63</v>
      </c>
      <c r="J18" s="60">
        <v>84</v>
      </c>
      <c r="K18" s="50">
        <v>1052</v>
      </c>
      <c r="L18" s="75" t="s">
        <v>63</v>
      </c>
      <c r="M18" s="60">
        <v>74</v>
      </c>
      <c r="N18" s="50">
        <v>1056</v>
      </c>
      <c r="O18" s="75" t="s">
        <v>63</v>
      </c>
      <c r="P18" s="60">
        <v>67</v>
      </c>
      <c r="Q18" s="51">
        <v>1046</v>
      </c>
      <c r="R18" s="75" t="s">
        <v>63</v>
      </c>
      <c r="S18" s="60">
        <v>63</v>
      </c>
      <c r="T18" s="51">
        <v>1082</v>
      </c>
      <c r="U18" s="75" t="s">
        <v>63</v>
      </c>
      <c r="V18" s="60">
        <v>52</v>
      </c>
      <c r="W18" s="50">
        <v>1094</v>
      </c>
      <c r="X18" s="75" t="s">
        <v>63</v>
      </c>
      <c r="Y18" s="60">
        <v>50</v>
      </c>
      <c r="Z18" s="50">
        <v>1108</v>
      </c>
      <c r="AA18" s="75" t="s">
        <v>63</v>
      </c>
      <c r="AB18" s="60">
        <v>51</v>
      </c>
      <c r="AC18" s="50">
        <v>1079</v>
      </c>
      <c r="AD18" s="75" t="s">
        <v>63</v>
      </c>
      <c r="AE18" s="60">
        <v>47</v>
      </c>
      <c r="AF18" s="50">
        <v>1013</v>
      </c>
      <c r="AG18" s="75" t="s">
        <v>63</v>
      </c>
      <c r="AH18" s="60">
        <v>45</v>
      </c>
    </row>
    <row r="19" spans="1:34" ht="15.6" customHeight="1" x14ac:dyDescent="0.2">
      <c r="A19" s="72" t="s">
        <v>143</v>
      </c>
      <c r="B19" s="124">
        <v>463</v>
      </c>
      <c r="C19" s="134" t="s">
        <v>172</v>
      </c>
      <c r="D19" s="128">
        <v>50</v>
      </c>
      <c r="E19" s="53">
        <v>414</v>
      </c>
      <c r="F19" s="75" t="s">
        <v>66</v>
      </c>
      <c r="G19" s="60">
        <v>54</v>
      </c>
      <c r="H19" s="57">
        <v>468</v>
      </c>
      <c r="I19" s="75" t="s">
        <v>66</v>
      </c>
      <c r="J19" s="60">
        <v>62</v>
      </c>
      <c r="K19" s="53">
        <v>504</v>
      </c>
      <c r="L19" s="75" t="s">
        <v>66</v>
      </c>
      <c r="M19" s="60">
        <v>55</v>
      </c>
      <c r="N19" s="57">
        <v>457</v>
      </c>
      <c r="O19" s="75" t="s">
        <v>66</v>
      </c>
      <c r="P19" s="60">
        <v>48</v>
      </c>
      <c r="Q19" s="57">
        <v>469</v>
      </c>
      <c r="R19" s="75" t="s">
        <v>66</v>
      </c>
      <c r="S19" s="60">
        <v>47</v>
      </c>
      <c r="T19" s="51">
        <v>535</v>
      </c>
      <c r="U19" s="75" t="s">
        <v>63</v>
      </c>
      <c r="V19" s="60">
        <v>36</v>
      </c>
      <c r="W19" s="50">
        <v>480</v>
      </c>
      <c r="X19" s="75" t="s">
        <v>63</v>
      </c>
      <c r="Y19" s="60">
        <v>29</v>
      </c>
      <c r="Z19" s="50">
        <v>505</v>
      </c>
      <c r="AA19" s="75" t="s">
        <v>63</v>
      </c>
      <c r="AB19" s="60">
        <v>29</v>
      </c>
      <c r="AC19" s="50">
        <v>467</v>
      </c>
      <c r="AD19" s="75" t="s">
        <v>63</v>
      </c>
      <c r="AE19" s="60">
        <v>28</v>
      </c>
      <c r="AF19" s="50">
        <v>467</v>
      </c>
      <c r="AG19" s="75" t="s">
        <v>63</v>
      </c>
      <c r="AH19" s="60">
        <v>30</v>
      </c>
    </row>
    <row r="20" spans="1:34" ht="15.6" customHeight="1" x14ac:dyDescent="0.2">
      <c r="A20" s="66" t="s">
        <v>144</v>
      </c>
      <c r="B20" s="124">
        <v>339</v>
      </c>
      <c r="C20" s="134" t="s">
        <v>172</v>
      </c>
      <c r="D20" s="128">
        <v>43</v>
      </c>
      <c r="E20" s="53">
        <v>298</v>
      </c>
      <c r="F20" s="75" t="s">
        <v>66</v>
      </c>
      <c r="G20" s="60">
        <v>48</v>
      </c>
      <c r="H20" s="57">
        <v>326</v>
      </c>
      <c r="I20" s="75" t="s">
        <v>66</v>
      </c>
      <c r="J20" s="60">
        <v>52</v>
      </c>
      <c r="K20" s="53">
        <v>354</v>
      </c>
      <c r="L20" s="75" t="s">
        <v>66</v>
      </c>
      <c r="M20" s="60">
        <v>46</v>
      </c>
      <c r="N20" s="57">
        <v>333</v>
      </c>
      <c r="O20" s="75" t="s">
        <v>66</v>
      </c>
      <c r="P20" s="60">
        <v>41</v>
      </c>
      <c r="Q20" s="57">
        <v>324</v>
      </c>
      <c r="R20" s="75" t="s">
        <v>66</v>
      </c>
      <c r="S20" s="60">
        <v>40</v>
      </c>
      <c r="T20" s="51">
        <v>352</v>
      </c>
      <c r="U20" s="75" t="s">
        <v>63</v>
      </c>
      <c r="V20" s="60">
        <v>32</v>
      </c>
      <c r="W20" s="50">
        <v>308</v>
      </c>
      <c r="X20" s="75" t="s">
        <v>63</v>
      </c>
      <c r="Y20" s="60">
        <v>29</v>
      </c>
      <c r="Z20" s="50">
        <v>347</v>
      </c>
      <c r="AA20" s="75" t="s">
        <v>63</v>
      </c>
      <c r="AB20" s="60">
        <v>29</v>
      </c>
      <c r="AC20" s="50">
        <v>319</v>
      </c>
      <c r="AD20" s="75" t="s">
        <v>63</v>
      </c>
      <c r="AE20" s="60">
        <v>28</v>
      </c>
      <c r="AF20" s="50">
        <v>317</v>
      </c>
      <c r="AG20" s="75" t="s">
        <v>63</v>
      </c>
      <c r="AH20" s="60">
        <v>26</v>
      </c>
    </row>
    <row r="21" spans="1:34" ht="15.6" customHeight="1" x14ac:dyDescent="0.2">
      <c r="A21" s="67" t="s">
        <v>145</v>
      </c>
      <c r="B21" s="129">
        <v>124</v>
      </c>
      <c r="C21" s="134" t="s">
        <v>174</v>
      </c>
      <c r="D21" s="128">
        <v>26</v>
      </c>
      <c r="E21" s="100">
        <v>116</v>
      </c>
      <c r="F21" s="75" t="s">
        <v>69</v>
      </c>
      <c r="G21" s="60">
        <v>31</v>
      </c>
      <c r="H21" s="97">
        <v>142</v>
      </c>
      <c r="I21" s="75" t="s">
        <v>69</v>
      </c>
      <c r="J21" s="60">
        <v>39</v>
      </c>
      <c r="K21" s="100">
        <v>150</v>
      </c>
      <c r="L21" s="75" t="s">
        <v>69</v>
      </c>
      <c r="M21" s="60">
        <v>32</v>
      </c>
      <c r="N21" s="97">
        <v>124</v>
      </c>
      <c r="O21" s="75" t="s">
        <v>69</v>
      </c>
      <c r="P21" s="60">
        <v>27</v>
      </c>
      <c r="Q21" s="97">
        <v>144</v>
      </c>
      <c r="R21" s="75" t="s">
        <v>69</v>
      </c>
      <c r="S21" s="60">
        <v>29</v>
      </c>
      <c r="T21" s="57">
        <v>183</v>
      </c>
      <c r="U21" s="75" t="s">
        <v>66</v>
      </c>
      <c r="V21" s="60">
        <v>23</v>
      </c>
      <c r="W21" s="53">
        <v>172</v>
      </c>
      <c r="X21" s="75" t="s">
        <v>66</v>
      </c>
      <c r="Y21" s="60">
        <v>23</v>
      </c>
      <c r="Z21" s="57">
        <v>158</v>
      </c>
      <c r="AA21" s="75" t="s">
        <v>66</v>
      </c>
      <c r="AB21" s="60">
        <v>20</v>
      </c>
      <c r="AC21" s="57">
        <v>148</v>
      </c>
      <c r="AD21" s="75" t="s">
        <v>66</v>
      </c>
      <c r="AE21" s="60">
        <v>19</v>
      </c>
      <c r="AF21" s="57">
        <v>150</v>
      </c>
      <c r="AG21" s="75" t="s">
        <v>66</v>
      </c>
      <c r="AH21" s="60">
        <v>19</v>
      </c>
    </row>
    <row r="22" spans="1:34" ht="15.6" customHeight="1" x14ac:dyDescent="0.2">
      <c r="A22" s="76" t="s">
        <v>147</v>
      </c>
      <c r="B22" s="145">
        <v>24329</v>
      </c>
      <c r="C22" s="135" t="s">
        <v>173</v>
      </c>
      <c r="D22" s="132">
        <v>159</v>
      </c>
      <c r="E22" s="46">
        <v>23957</v>
      </c>
      <c r="F22" s="47" t="s">
        <v>63</v>
      </c>
      <c r="G22" s="61">
        <v>180</v>
      </c>
      <c r="H22" s="52">
        <v>23718</v>
      </c>
      <c r="I22" s="47" t="s">
        <v>63</v>
      </c>
      <c r="J22" s="61">
        <v>205</v>
      </c>
      <c r="K22" s="46">
        <v>23626</v>
      </c>
      <c r="L22" s="47" t="s">
        <v>63</v>
      </c>
      <c r="M22" s="61">
        <v>157</v>
      </c>
      <c r="N22" s="46">
        <v>23518</v>
      </c>
      <c r="O22" s="47" t="s">
        <v>63</v>
      </c>
      <c r="P22" s="61">
        <v>153</v>
      </c>
      <c r="Q22" s="46">
        <v>23310</v>
      </c>
      <c r="R22" s="47" t="s">
        <v>63</v>
      </c>
      <c r="S22" s="61">
        <v>183</v>
      </c>
      <c r="T22" s="52">
        <v>23183</v>
      </c>
      <c r="U22" s="47" t="s">
        <v>63</v>
      </c>
      <c r="V22" s="61">
        <v>101</v>
      </c>
      <c r="W22" s="46">
        <v>23015</v>
      </c>
      <c r="X22" s="47" t="s">
        <v>63</v>
      </c>
      <c r="Y22" s="61">
        <v>99</v>
      </c>
      <c r="Z22" s="46">
        <v>22684</v>
      </c>
      <c r="AA22" s="47" t="s">
        <v>63</v>
      </c>
      <c r="AB22" s="61">
        <v>97</v>
      </c>
      <c r="AC22" s="46">
        <v>22637</v>
      </c>
      <c r="AD22" s="47" t="s">
        <v>63</v>
      </c>
      <c r="AE22" s="61">
        <v>95</v>
      </c>
      <c r="AF22" s="46">
        <v>22587</v>
      </c>
      <c r="AG22" s="47" t="s">
        <v>63</v>
      </c>
      <c r="AH22" s="61">
        <v>92</v>
      </c>
    </row>
    <row r="23" spans="1:34" ht="15.6" customHeight="1" x14ac:dyDescent="0.2">
      <c r="A23" s="84" t="s">
        <v>148</v>
      </c>
      <c r="B23" s="143">
        <v>2.38</v>
      </c>
      <c r="C23" s="136" t="s">
        <v>173</v>
      </c>
      <c r="D23" s="123">
        <v>0.02</v>
      </c>
      <c r="E23" s="137">
        <v>2.38</v>
      </c>
      <c r="F23" s="47" t="s">
        <v>63</v>
      </c>
      <c r="G23" s="139">
        <v>0.02</v>
      </c>
      <c r="H23" s="138">
        <v>2.38</v>
      </c>
      <c r="I23" s="47" t="s">
        <v>63</v>
      </c>
      <c r="J23" s="139">
        <v>0.02</v>
      </c>
      <c r="K23" s="137">
        <v>2.38</v>
      </c>
      <c r="L23" s="47" t="s">
        <v>63</v>
      </c>
      <c r="M23" s="139">
        <v>0.02</v>
      </c>
      <c r="N23" s="137">
        <v>2.38</v>
      </c>
      <c r="O23" s="47" t="s">
        <v>63</v>
      </c>
      <c r="P23" s="139">
        <v>0.02</v>
      </c>
      <c r="Q23" s="137">
        <v>2.4</v>
      </c>
      <c r="R23" s="47" t="s">
        <v>63</v>
      </c>
      <c r="S23" s="139">
        <v>0.02</v>
      </c>
      <c r="T23" s="138">
        <v>2.4</v>
      </c>
      <c r="U23" s="47" t="s">
        <v>63</v>
      </c>
      <c r="V23" s="139">
        <v>0.01</v>
      </c>
      <c r="W23" s="137">
        <v>2.4</v>
      </c>
      <c r="X23" s="47" t="s">
        <v>63</v>
      </c>
      <c r="Y23" s="139">
        <v>0.01</v>
      </c>
      <c r="Z23" s="137">
        <v>2.42</v>
      </c>
      <c r="AA23" s="47" t="s">
        <v>63</v>
      </c>
      <c r="AB23" s="139">
        <v>0.01</v>
      </c>
      <c r="AC23" s="137">
        <v>2.41</v>
      </c>
      <c r="AD23" s="47" t="s">
        <v>63</v>
      </c>
      <c r="AE23" s="139">
        <v>0.01</v>
      </c>
      <c r="AF23" s="137">
        <v>2.39</v>
      </c>
      <c r="AG23" s="47" t="s">
        <v>63</v>
      </c>
      <c r="AH23" s="139">
        <v>0.01</v>
      </c>
    </row>
    <row r="24" spans="1:34" ht="15.6" customHeight="1" x14ac:dyDescent="0.2"/>
    <row r="25" spans="1:34" ht="15.6" customHeight="1" x14ac:dyDescent="0.2"/>
    <row r="26" spans="1:34" ht="15.6" customHeight="1" x14ac:dyDescent="0.2"/>
  </sheetData>
  <hyperlinks>
    <hyperlink ref="A10" r:id="rId1" xr:uid="{00000000-0004-0000-0D00-000000000000}"/>
    <hyperlink ref="A11" r:id="rId2" xr:uid="{00000000-0004-0000-0D00-000001000000}"/>
    <hyperlink ref="A12" r:id="rId3" xr:uid="{00000000-0004-0000-0D00-000002000000}"/>
  </hyperlinks>
  <pageMargins left="0.7" right="0.7" top="0.75" bottom="0.75" header="0.3" footer="0.3"/>
  <pageSetup paperSize="9" orientation="portrait"/>
  <tableParts count="1">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HO25"/>
  <sheetViews>
    <sheetView showGridLines="0" showZeros="0" zoomScaleNormal="100" workbookViewId="0"/>
  </sheetViews>
  <sheetFormatPr defaultColWidth="10.88671875" defaultRowHeight="15" x14ac:dyDescent="0.2"/>
  <cols>
    <col min="1" max="1" width="55.6640625" customWidth="1"/>
    <col min="2" max="2" width="13.109375" bestFit="1" customWidth="1"/>
    <col min="3" max="3" width="8.21875" bestFit="1" customWidth="1"/>
    <col min="4" max="4" width="9.44140625" bestFit="1" customWidth="1"/>
    <col min="5" max="5" width="13.109375" bestFit="1" customWidth="1"/>
    <col min="6" max="6" width="8.21875" bestFit="1" customWidth="1"/>
    <col min="7" max="7" width="9.44140625" bestFit="1" customWidth="1"/>
    <col min="8" max="8" width="13.109375" bestFit="1" customWidth="1"/>
    <col min="9" max="9" width="8.21875" bestFit="1" customWidth="1"/>
    <col min="10" max="10" width="9.44140625" bestFit="1" customWidth="1"/>
    <col min="11" max="11" width="13.109375" bestFit="1" customWidth="1"/>
    <col min="12" max="12" width="8.21875" bestFit="1" customWidth="1"/>
    <col min="13" max="13" width="9.44140625" bestFit="1" customWidth="1"/>
    <col min="14" max="14" width="13.109375" bestFit="1" customWidth="1"/>
    <col min="15" max="15" width="8.21875" bestFit="1" customWidth="1"/>
    <col min="16" max="16" width="9.44140625" bestFit="1" customWidth="1"/>
    <col min="17" max="17" width="13.109375" bestFit="1" customWidth="1"/>
    <col min="18" max="18" width="8.21875" bestFit="1" customWidth="1"/>
    <col min="19" max="19" width="9.44140625" bestFit="1" customWidth="1"/>
    <col min="20" max="20" width="13.109375" bestFit="1" customWidth="1"/>
    <col min="21" max="21" width="8.21875" bestFit="1" customWidth="1"/>
    <col min="22" max="22" width="9.44140625" bestFit="1" customWidth="1"/>
    <col min="23" max="23" width="13.109375" bestFit="1" customWidth="1"/>
    <col min="24" max="24" width="8.21875" bestFit="1" customWidth="1"/>
    <col min="25" max="25" width="9.44140625" bestFit="1" customWidth="1"/>
    <col min="26" max="26" width="13.109375" bestFit="1" customWidth="1"/>
    <col min="27" max="27" width="8.21875" bestFit="1" customWidth="1"/>
    <col min="28" max="28" width="9.44140625" bestFit="1" customWidth="1"/>
    <col min="29" max="29" width="13.109375" bestFit="1" customWidth="1"/>
    <col min="30" max="30" width="8.21875" bestFit="1" customWidth="1"/>
    <col min="31" max="31" width="9.44140625" bestFit="1" customWidth="1"/>
    <col min="32" max="32" width="13.109375" bestFit="1" customWidth="1"/>
    <col min="33" max="33" width="8.21875" bestFit="1" customWidth="1"/>
    <col min="34" max="34" width="9.44140625" bestFit="1" customWidth="1"/>
  </cols>
  <sheetData>
    <row r="1" spans="1:223" ht="19.899999999999999" customHeight="1" x14ac:dyDescent="0.3">
      <c r="A1" s="193" t="s">
        <v>0</v>
      </c>
    </row>
    <row r="2" spans="1:223" ht="31.15" customHeight="1" x14ac:dyDescent="0.2">
      <c r="A2" s="194" t="s">
        <v>167</v>
      </c>
    </row>
    <row r="3" spans="1:223" ht="15.4" customHeight="1" x14ac:dyDescent="0.2">
      <c r="A3" s="101" t="s">
        <v>168</v>
      </c>
    </row>
    <row r="4" spans="1:223" ht="15.4" customHeight="1" x14ac:dyDescent="0.2">
      <c r="A4" s="101" t="s">
        <v>98</v>
      </c>
    </row>
    <row r="5" spans="1:223" ht="15.6" customHeight="1" x14ac:dyDescent="0.2">
      <c r="A5" s="101" t="s">
        <v>99</v>
      </c>
    </row>
    <row r="6" spans="1:223" ht="15.6" customHeight="1" x14ac:dyDescent="0.2">
      <c r="A6" s="101" t="s">
        <v>179</v>
      </c>
    </row>
    <row r="7" spans="1:223" ht="15.6" customHeight="1" x14ac:dyDescent="0.2">
      <c r="A7" s="101" t="s">
        <v>180</v>
      </c>
    </row>
    <row r="8" spans="1:223" ht="15.4" customHeight="1" x14ac:dyDescent="0.25">
      <c r="A8" s="101" t="s">
        <v>181</v>
      </c>
      <c r="B8" s="81"/>
      <c r="C8" s="81"/>
      <c r="D8" s="81"/>
      <c r="E8" s="81"/>
      <c r="F8" s="81"/>
      <c r="G8" s="81"/>
      <c r="H8" s="81"/>
      <c r="I8" s="81"/>
      <c r="J8" s="81"/>
      <c r="K8" s="81"/>
      <c r="L8" s="81"/>
      <c r="M8" s="81"/>
      <c r="N8" s="81"/>
      <c r="O8" s="81"/>
      <c r="P8" s="81"/>
      <c r="Q8" s="81"/>
      <c r="R8" s="81"/>
      <c r="S8" s="81"/>
      <c r="T8" s="81"/>
      <c r="U8" s="81"/>
      <c r="V8" s="81"/>
      <c r="W8" s="82"/>
      <c r="X8" s="82"/>
      <c r="Y8" s="82"/>
      <c r="Z8" s="82"/>
      <c r="AA8" s="82"/>
      <c r="AB8" s="82"/>
      <c r="AC8" s="82"/>
      <c r="AD8" s="82"/>
      <c r="AE8" s="82"/>
      <c r="AF8" s="82"/>
      <c r="AG8" s="82"/>
      <c r="AH8" s="82"/>
      <c r="AI8" s="82"/>
      <c r="AJ8" s="82"/>
      <c r="AK8" s="82"/>
      <c r="AL8" s="82"/>
      <c r="AM8" s="82"/>
      <c r="AN8" s="82"/>
      <c r="AO8" s="82"/>
      <c r="AP8" s="82"/>
      <c r="AQ8" s="82"/>
      <c r="AR8" s="82"/>
      <c r="AS8" s="82"/>
      <c r="AT8" s="82"/>
      <c r="AU8" s="82"/>
      <c r="AV8" s="82"/>
      <c r="AW8" s="82"/>
      <c r="AX8" s="82"/>
      <c r="AY8" s="82"/>
      <c r="AZ8" s="82"/>
      <c r="BA8" s="82"/>
      <c r="BB8" s="82"/>
      <c r="BC8" s="82"/>
      <c r="BD8" s="82"/>
      <c r="BE8" s="82"/>
      <c r="BF8" s="82"/>
      <c r="BG8" s="82"/>
      <c r="BH8" s="82"/>
      <c r="BI8" s="82"/>
      <c r="BJ8" s="82"/>
      <c r="BK8" s="82"/>
      <c r="BL8" s="82"/>
      <c r="BM8" s="82"/>
      <c r="BN8" s="82"/>
      <c r="BO8" s="82"/>
      <c r="BP8" s="82"/>
      <c r="BQ8" s="82"/>
      <c r="BR8" s="82"/>
      <c r="BS8" s="82"/>
      <c r="BT8" s="82"/>
      <c r="BU8" s="82"/>
      <c r="BV8" s="82"/>
      <c r="BW8" s="82"/>
      <c r="BX8" s="82"/>
      <c r="BY8" s="82"/>
      <c r="BZ8" s="82"/>
      <c r="CA8" s="82"/>
      <c r="CB8" s="82"/>
      <c r="CC8" s="82"/>
      <c r="CD8" s="82"/>
      <c r="CE8" s="82"/>
      <c r="CF8" s="82"/>
      <c r="CG8" s="82"/>
      <c r="CH8" s="82"/>
      <c r="CI8" s="82"/>
      <c r="CJ8" s="82"/>
      <c r="CK8" s="82"/>
      <c r="CL8" s="82"/>
      <c r="CM8" s="82"/>
      <c r="CN8" s="82"/>
      <c r="CO8" s="82"/>
      <c r="CP8" s="82"/>
      <c r="CQ8" s="82"/>
      <c r="CR8" s="82"/>
      <c r="CS8" s="82"/>
      <c r="CT8" s="82"/>
      <c r="CU8" s="82"/>
      <c r="CV8" s="82"/>
      <c r="CW8" s="82"/>
      <c r="CX8" s="82"/>
      <c r="CY8" s="82"/>
      <c r="CZ8" s="82"/>
      <c r="DA8" s="82"/>
      <c r="DB8" s="82"/>
      <c r="DC8" s="82"/>
      <c r="DD8" s="82"/>
      <c r="DE8" s="82"/>
      <c r="DF8" s="82"/>
      <c r="DG8" s="82"/>
      <c r="DH8" s="82"/>
      <c r="DI8" s="82"/>
      <c r="DJ8" s="82"/>
      <c r="DK8" s="82"/>
      <c r="DL8" s="82"/>
      <c r="DM8" s="82"/>
      <c r="DN8" s="82"/>
      <c r="DO8" s="82"/>
      <c r="DP8" s="82"/>
      <c r="DQ8" s="82"/>
      <c r="DR8" s="82"/>
      <c r="DS8" s="82"/>
      <c r="DT8" s="82"/>
      <c r="DU8" s="82"/>
      <c r="DV8" s="82"/>
      <c r="DW8" s="82"/>
      <c r="DX8" s="82"/>
      <c r="DY8" s="82"/>
      <c r="DZ8" s="82"/>
      <c r="EA8" s="82"/>
      <c r="EB8" s="82"/>
      <c r="EC8" s="82"/>
      <c r="ED8" s="82"/>
      <c r="EE8" s="82"/>
      <c r="EF8" s="82"/>
      <c r="EG8" s="82"/>
      <c r="EH8" s="82"/>
      <c r="EI8" s="82"/>
      <c r="EJ8" s="82"/>
      <c r="EK8" s="82"/>
      <c r="EL8" s="82"/>
      <c r="EM8" s="82"/>
      <c r="EN8" s="82"/>
      <c r="EO8" s="82"/>
      <c r="EP8" s="82"/>
      <c r="EQ8" s="82"/>
      <c r="ER8" s="82"/>
      <c r="ES8" s="82"/>
      <c r="ET8" s="82"/>
      <c r="EU8" s="82"/>
      <c r="EV8" s="82"/>
      <c r="EW8" s="82"/>
      <c r="EX8" s="82"/>
      <c r="EY8" s="82"/>
      <c r="EZ8" s="82"/>
      <c r="FA8" s="82"/>
      <c r="FB8" s="82"/>
      <c r="FC8" s="82"/>
      <c r="FD8" s="82"/>
      <c r="FE8" s="82"/>
      <c r="FF8" s="82"/>
      <c r="FG8" s="82"/>
      <c r="FH8" s="82"/>
      <c r="FI8" s="82"/>
      <c r="FJ8" s="82"/>
      <c r="FK8" s="82"/>
      <c r="FL8" s="82"/>
      <c r="FM8" s="82"/>
      <c r="FN8" s="82"/>
      <c r="FO8" s="82"/>
      <c r="FP8" s="82"/>
      <c r="FQ8" s="82"/>
      <c r="FR8" s="82"/>
      <c r="FS8" s="82"/>
      <c r="FT8" s="82"/>
      <c r="FU8" s="82"/>
      <c r="FV8" s="82"/>
      <c r="FW8" s="82"/>
      <c r="FX8" s="82"/>
      <c r="FY8" s="82"/>
      <c r="FZ8" s="82"/>
      <c r="GA8" s="82"/>
      <c r="GB8" s="82"/>
      <c r="GC8" s="82"/>
      <c r="GD8" s="82"/>
      <c r="GE8" s="82"/>
      <c r="GF8" s="82"/>
      <c r="GG8" s="82"/>
      <c r="GH8" s="82"/>
      <c r="GI8" s="82"/>
      <c r="GJ8" s="82"/>
      <c r="GK8" s="82"/>
      <c r="GL8" s="82"/>
      <c r="GM8" s="82"/>
      <c r="GN8" s="82"/>
      <c r="GO8" s="82"/>
      <c r="GP8" s="82"/>
      <c r="GQ8" s="82"/>
      <c r="GR8" s="82"/>
      <c r="GS8" s="82"/>
      <c r="GT8" s="82"/>
      <c r="GU8" s="82"/>
      <c r="GV8" s="82"/>
      <c r="GW8" s="82"/>
      <c r="GX8" s="82"/>
      <c r="GY8" s="82"/>
      <c r="GZ8" s="82"/>
      <c r="HA8" s="82"/>
      <c r="HB8" s="82"/>
      <c r="HC8" s="82"/>
      <c r="HD8" s="82"/>
      <c r="HE8" s="82"/>
      <c r="HF8" s="82"/>
      <c r="HG8" s="82"/>
      <c r="HH8" s="82"/>
      <c r="HI8" s="82"/>
      <c r="HJ8" s="82"/>
      <c r="HK8" s="82"/>
      <c r="HL8" s="82"/>
      <c r="HM8" s="82"/>
      <c r="HN8" s="82"/>
      <c r="HO8" s="82"/>
    </row>
    <row r="9" spans="1:223" ht="31.15" customHeight="1" x14ac:dyDescent="0.2">
      <c r="A9" s="65" t="s">
        <v>100</v>
      </c>
    </row>
    <row r="10" spans="1:223" ht="15" customHeight="1" x14ac:dyDescent="0.2">
      <c r="A10" s="113" t="s">
        <v>101</v>
      </c>
    </row>
    <row r="11" spans="1:223" ht="15.4" customHeight="1" x14ac:dyDescent="0.2">
      <c r="A11" s="113" t="s">
        <v>102</v>
      </c>
    </row>
    <row r="12" spans="1:223" ht="31.15" customHeight="1" x14ac:dyDescent="0.2">
      <c r="A12" s="114" t="s">
        <v>103</v>
      </c>
    </row>
    <row r="13" spans="1:223" ht="31.15" customHeight="1" x14ac:dyDescent="0.2">
      <c r="A13" s="71" t="s">
        <v>104</v>
      </c>
      <c r="B13" s="56" t="s">
        <v>105</v>
      </c>
      <c r="C13" s="70" t="s">
        <v>106</v>
      </c>
      <c r="D13" s="59" t="s">
        <v>107</v>
      </c>
      <c r="E13" s="55" t="s">
        <v>108</v>
      </c>
      <c r="F13" s="70" t="s">
        <v>109</v>
      </c>
      <c r="G13" s="55" t="s">
        <v>110</v>
      </c>
      <c r="H13" s="56" t="s">
        <v>111</v>
      </c>
      <c r="I13" s="70" t="s">
        <v>112</v>
      </c>
      <c r="J13" s="59" t="s">
        <v>113</v>
      </c>
      <c r="K13" s="55" t="s">
        <v>114</v>
      </c>
      <c r="L13" s="70" t="s">
        <v>115</v>
      </c>
      <c r="M13" s="59" t="s">
        <v>116</v>
      </c>
      <c r="N13" s="56" t="s">
        <v>117</v>
      </c>
      <c r="O13" s="70" t="s">
        <v>118</v>
      </c>
      <c r="P13" s="59" t="s">
        <v>119</v>
      </c>
      <c r="Q13" s="56" t="s">
        <v>120</v>
      </c>
      <c r="R13" s="70" t="s">
        <v>121</v>
      </c>
      <c r="S13" s="55" t="s">
        <v>122</v>
      </c>
      <c r="T13" s="56" t="s">
        <v>123</v>
      </c>
      <c r="U13" s="70" t="s">
        <v>124</v>
      </c>
      <c r="V13" s="59" t="s">
        <v>125</v>
      </c>
      <c r="W13" s="55" t="s">
        <v>126</v>
      </c>
      <c r="X13" s="70" t="s">
        <v>127</v>
      </c>
      <c r="Y13" s="59" t="s">
        <v>128</v>
      </c>
      <c r="Z13" s="55" t="s">
        <v>129</v>
      </c>
      <c r="AA13" s="70" t="s">
        <v>130</v>
      </c>
      <c r="AB13" s="59" t="s">
        <v>131</v>
      </c>
      <c r="AC13" s="55" t="s">
        <v>132</v>
      </c>
      <c r="AD13" s="70" t="s">
        <v>133</v>
      </c>
      <c r="AE13" s="59" t="s">
        <v>134</v>
      </c>
      <c r="AF13" s="55" t="s">
        <v>135</v>
      </c>
      <c r="AG13" s="70" t="s">
        <v>136</v>
      </c>
      <c r="AH13" s="59" t="s">
        <v>137</v>
      </c>
    </row>
    <row r="14" spans="1:223" ht="15.6" customHeight="1" x14ac:dyDescent="0.2">
      <c r="A14" s="72" t="s">
        <v>138</v>
      </c>
      <c r="B14" s="124">
        <v>442</v>
      </c>
      <c r="C14" s="133" t="s">
        <v>172</v>
      </c>
      <c r="D14" s="154">
        <v>56</v>
      </c>
      <c r="E14" s="79">
        <v>388</v>
      </c>
      <c r="F14" s="78" t="s">
        <v>66</v>
      </c>
      <c r="G14" s="80">
        <v>57</v>
      </c>
      <c r="H14" s="79">
        <v>442</v>
      </c>
      <c r="I14" s="78" t="s">
        <v>66</v>
      </c>
      <c r="J14" s="80">
        <v>68</v>
      </c>
      <c r="K14" s="79">
        <v>397</v>
      </c>
      <c r="L14" s="78" t="s">
        <v>66</v>
      </c>
      <c r="M14" s="80">
        <v>49</v>
      </c>
      <c r="N14" s="79">
        <v>436</v>
      </c>
      <c r="O14" s="78" t="s">
        <v>66</v>
      </c>
      <c r="P14" s="80">
        <v>53</v>
      </c>
      <c r="Q14" s="79">
        <v>415</v>
      </c>
      <c r="R14" s="78" t="s">
        <v>66</v>
      </c>
      <c r="S14" s="80">
        <v>60</v>
      </c>
      <c r="T14" s="89">
        <v>441</v>
      </c>
      <c r="U14" s="78" t="s">
        <v>63</v>
      </c>
      <c r="V14" s="80">
        <v>39</v>
      </c>
      <c r="W14" s="89">
        <v>388</v>
      </c>
      <c r="X14" s="78" t="s">
        <v>63</v>
      </c>
      <c r="Y14" s="80">
        <v>35</v>
      </c>
      <c r="Z14" s="89">
        <v>393</v>
      </c>
      <c r="AA14" s="78" t="s">
        <v>63</v>
      </c>
      <c r="AB14" s="80">
        <v>35</v>
      </c>
      <c r="AC14" s="89">
        <v>403</v>
      </c>
      <c r="AD14" s="78" t="s">
        <v>63</v>
      </c>
      <c r="AE14" s="80">
        <v>37</v>
      </c>
      <c r="AF14" s="89">
        <v>394</v>
      </c>
      <c r="AG14" s="78" t="s">
        <v>63</v>
      </c>
      <c r="AH14" s="80">
        <v>35</v>
      </c>
    </row>
    <row r="15" spans="1:223" ht="15.6" customHeight="1" x14ac:dyDescent="0.2">
      <c r="A15" s="72" t="s">
        <v>139</v>
      </c>
      <c r="B15" s="144">
        <v>509</v>
      </c>
      <c r="C15" s="134" t="s">
        <v>173</v>
      </c>
      <c r="D15" s="155">
        <v>45</v>
      </c>
      <c r="E15" s="57">
        <v>494</v>
      </c>
      <c r="F15" s="75" t="s">
        <v>66</v>
      </c>
      <c r="G15" s="60">
        <v>52</v>
      </c>
      <c r="H15" s="57">
        <v>492</v>
      </c>
      <c r="I15" s="75" t="s">
        <v>66</v>
      </c>
      <c r="J15" s="60">
        <v>58</v>
      </c>
      <c r="K15" s="51">
        <v>458</v>
      </c>
      <c r="L15" s="75" t="s">
        <v>63</v>
      </c>
      <c r="M15" s="60">
        <v>39</v>
      </c>
      <c r="N15" s="51">
        <v>433</v>
      </c>
      <c r="O15" s="75" t="s">
        <v>63</v>
      </c>
      <c r="P15" s="60">
        <v>42</v>
      </c>
      <c r="Q15" s="51">
        <v>492</v>
      </c>
      <c r="R15" s="75" t="s">
        <v>63</v>
      </c>
      <c r="S15" s="60">
        <v>40</v>
      </c>
      <c r="T15" s="51">
        <v>460</v>
      </c>
      <c r="U15" s="75" t="s">
        <v>63</v>
      </c>
      <c r="V15" s="60">
        <v>29</v>
      </c>
      <c r="W15" s="51">
        <v>503</v>
      </c>
      <c r="X15" s="75" t="s">
        <v>63</v>
      </c>
      <c r="Y15" s="60">
        <v>31</v>
      </c>
      <c r="Z15" s="51">
        <v>482</v>
      </c>
      <c r="AA15" s="75" t="s">
        <v>63</v>
      </c>
      <c r="AB15" s="60">
        <v>29</v>
      </c>
      <c r="AC15" s="51">
        <v>485</v>
      </c>
      <c r="AD15" s="75" t="s">
        <v>63</v>
      </c>
      <c r="AE15" s="60">
        <v>27</v>
      </c>
      <c r="AF15" s="51">
        <v>492</v>
      </c>
      <c r="AG15" s="75" t="s">
        <v>63</v>
      </c>
      <c r="AH15" s="60">
        <v>26</v>
      </c>
    </row>
    <row r="16" spans="1:223" ht="15.6" customHeight="1" x14ac:dyDescent="0.2">
      <c r="A16" s="72" t="s">
        <v>140</v>
      </c>
      <c r="B16" s="124">
        <v>210</v>
      </c>
      <c r="C16" s="134" t="s">
        <v>172</v>
      </c>
      <c r="D16" s="155">
        <v>27</v>
      </c>
      <c r="E16" s="57">
        <v>198</v>
      </c>
      <c r="F16" s="75" t="s">
        <v>66</v>
      </c>
      <c r="G16" s="60">
        <v>29</v>
      </c>
      <c r="H16" s="57">
        <v>208</v>
      </c>
      <c r="I16" s="75" t="s">
        <v>66</v>
      </c>
      <c r="J16" s="60">
        <v>29</v>
      </c>
      <c r="K16" s="57">
        <v>209</v>
      </c>
      <c r="L16" s="75" t="s">
        <v>66</v>
      </c>
      <c r="M16" s="60">
        <v>26</v>
      </c>
      <c r="N16" s="57">
        <v>209</v>
      </c>
      <c r="O16" s="75" t="s">
        <v>66</v>
      </c>
      <c r="P16" s="60">
        <v>24</v>
      </c>
      <c r="Q16" s="57">
        <v>183</v>
      </c>
      <c r="R16" s="75" t="s">
        <v>66</v>
      </c>
      <c r="S16" s="60">
        <v>24</v>
      </c>
      <c r="T16" s="57">
        <v>220</v>
      </c>
      <c r="U16" s="75" t="s">
        <v>66</v>
      </c>
      <c r="V16" s="60">
        <v>22</v>
      </c>
      <c r="W16" s="57">
        <v>201</v>
      </c>
      <c r="X16" s="75" t="s">
        <v>66</v>
      </c>
      <c r="Y16" s="60">
        <v>22</v>
      </c>
      <c r="Z16" s="57">
        <v>207</v>
      </c>
      <c r="AA16" s="75" t="s">
        <v>66</v>
      </c>
      <c r="AB16" s="60">
        <v>21</v>
      </c>
      <c r="AC16" s="57">
        <v>198</v>
      </c>
      <c r="AD16" s="75" t="s">
        <v>66</v>
      </c>
      <c r="AE16" s="60">
        <v>20</v>
      </c>
      <c r="AF16" s="57">
        <v>193</v>
      </c>
      <c r="AG16" s="75" t="s">
        <v>66</v>
      </c>
      <c r="AH16" s="60">
        <v>20</v>
      </c>
    </row>
    <row r="17" spans="1:34" ht="15.6" customHeight="1" x14ac:dyDescent="0.2">
      <c r="A17" s="72" t="s">
        <v>141</v>
      </c>
      <c r="B17" s="124">
        <v>175</v>
      </c>
      <c r="C17" s="134" t="s">
        <v>172</v>
      </c>
      <c r="D17" s="155">
        <v>26</v>
      </c>
      <c r="E17" s="57">
        <v>184</v>
      </c>
      <c r="F17" s="75" t="s">
        <v>66</v>
      </c>
      <c r="G17" s="60">
        <v>29</v>
      </c>
      <c r="H17" s="57">
        <v>165</v>
      </c>
      <c r="I17" s="75" t="s">
        <v>66</v>
      </c>
      <c r="J17" s="60">
        <v>25</v>
      </c>
      <c r="K17" s="57">
        <v>182</v>
      </c>
      <c r="L17" s="75" t="s">
        <v>66</v>
      </c>
      <c r="M17" s="60">
        <v>23</v>
      </c>
      <c r="N17" s="57">
        <v>184</v>
      </c>
      <c r="O17" s="75" t="s">
        <v>66</v>
      </c>
      <c r="P17" s="60">
        <v>23</v>
      </c>
      <c r="Q17" s="57">
        <v>187</v>
      </c>
      <c r="R17" s="75" t="s">
        <v>66</v>
      </c>
      <c r="S17" s="60">
        <v>22</v>
      </c>
      <c r="T17" s="51">
        <v>186</v>
      </c>
      <c r="U17" s="75" t="s">
        <v>63</v>
      </c>
      <c r="V17" s="60">
        <v>18</v>
      </c>
      <c r="W17" s="57">
        <v>167</v>
      </c>
      <c r="X17" s="75" t="s">
        <v>66</v>
      </c>
      <c r="Y17" s="60">
        <v>18</v>
      </c>
      <c r="Z17" s="57">
        <v>161</v>
      </c>
      <c r="AA17" s="75" t="s">
        <v>66</v>
      </c>
      <c r="AB17" s="60">
        <v>18</v>
      </c>
      <c r="AC17" s="51">
        <v>173</v>
      </c>
      <c r="AD17" s="75" t="s">
        <v>63</v>
      </c>
      <c r="AE17" s="60">
        <v>16</v>
      </c>
      <c r="AF17" s="57">
        <v>173</v>
      </c>
      <c r="AG17" s="75" t="s">
        <v>66</v>
      </c>
      <c r="AH17" s="60">
        <v>17</v>
      </c>
    </row>
    <row r="18" spans="1:34" ht="15.6" customHeight="1" x14ac:dyDescent="0.2">
      <c r="A18" s="72" t="s">
        <v>142</v>
      </c>
      <c r="B18" s="129">
        <v>52</v>
      </c>
      <c r="C18" s="134" t="s">
        <v>174</v>
      </c>
      <c r="D18" s="155">
        <v>14</v>
      </c>
      <c r="E18" s="62">
        <v>61</v>
      </c>
      <c r="F18" s="75" t="s">
        <v>69</v>
      </c>
      <c r="G18" s="60">
        <v>18</v>
      </c>
      <c r="H18" s="62">
        <v>51</v>
      </c>
      <c r="I18" s="75" t="s">
        <v>69</v>
      </c>
      <c r="J18" s="60">
        <v>17</v>
      </c>
      <c r="K18" s="62">
        <v>64</v>
      </c>
      <c r="L18" s="75" t="s">
        <v>69</v>
      </c>
      <c r="M18" s="60">
        <v>17</v>
      </c>
      <c r="N18" s="62">
        <v>54</v>
      </c>
      <c r="O18" s="75" t="s">
        <v>69</v>
      </c>
      <c r="P18" s="60">
        <v>15</v>
      </c>
      <c r="Q18" s="62">
        <v>61</v>
      </c>
      <c r="R18" s="75" t="s">
        <v>69</v>
      </c>
      <c r="S18" s="60">
        <v>15</v>
      </c>
      <c r="T18" s="62">
        <v>53</v>
      </c>
      <c r="U18" s="75" t="s">
        <v>69</v>
      </c>
      <c r="V18" s="60">
        <v>11</v>
      </c>
      <c r="W18" s="57">
        <v>64</v>
      </c>
      <c r="X18" s="75" t="s">
        <v>66</v>
      </c>
      <c r="Y18" s="60">
        <v>12</v>
      </c>
      <c r="Z18" s="57">
        <v>60</v>
      </c>
      <c r="AA18" s="75" t="s">
        <v>66</v>
      </c>
      <c r="AB18" s="60">
        <v>11</v>
      </c>
      <c r="AC18" s="57">
        <v>60</v>
      </c>
      <c r="AD18" s="75" t="s">
        <v>66</v>
      </c>
      <c r="AE18" s="60">
        <v>10</v>
      </c>
      <c r="AF18" s="62">
        <v>47</v>
      </c>
      <c r="AG18" s="75" t="s">
        <v>69</v>
      </c>
      <c r="AH18" s="60">
        <v>10</v>
      </c>
    </row>
    <row r="19" spans="1:34" ht="15.6" customHeight="1" x14ac:dyDescent="0.2">
      <c r="A19" s="72" t="s">
        <v>143</v>
      </c>
      <c r="B19" s="130">
        <v>17</v>
      </c>
      <c r="C19" s="134" t="s">
        <v>175</v>
      </c>
      <c r="D19" s="127">
        <v>10</v>
      </c>
      <c r="E19" s="58">
        <v>16</v>
      </c>
      <c r="F19" s="75" t="s">
        <v>72</v>
      </c>
      <c r="G19" s="60">
        <v>10</v>
      </c>
      <c r="H19" s="58">
        <v>27</v>
      </c>
      <c r="I19" s="75" t="s">
        <v>72</v>
      </c>
      <c r="J19" s="60">
        <v>14</v>
      </c>
      <c r="K19" s="58">
        <v>22</v>
      </c>
      <c r="L19" s="75" t="s">
        <v>72</v>
      </c>
      <c r="M19" s="60">
        <v>10</v>
      </c>
      <c r="N19" s="58">
        <v>30</v>
      </c>
      <c r="O19" s="75" t="s">
        <v>72</v>
      </c>
      <c r="P19" s="60">
        <v>13</v>
      </c>
      <c r="Q19" s="58">
        <v>19</v>
      </c>
      <c r="R19" s="75" t="s">
        <v>72</v>
      </c>
      <c r="S19" s="60">
        <v>9</v>
      </c>
      <c r="T19" s="58">
        <v>13</v>
      </c>
      <c r="U19" s="75" t="s">
        <v>72</v>
      </c>
      <c r="V19" s="60">
        <v>5</v>
      </c>
      <c r="W19" s="58">
        <v>19</v>
      </c>
      <c r="X19" s="75" t="s">
        <v>72</v>
      </c>
      <c r="Y19" s="60">
        <v>6</v>
      </c>
      <c r="Z19" s="58">
        <v>26</v>
      </c>
      <c r="AA19" s="75" t="s">
        <v>72</v>
      </c>
      <c r="AB19" s="60">
        <v>9</v>
      </c>
      <c r="AC19" s="62">
        <v>19</v>
      </c>
      <c r="AD19" s="75" t="s">
        <v>69</v>
      </c>
      <c r="AE19" s="60">
        <v>6</v>
      </c>
      <c r="AF19" s="62">
        <v>26</v>
      </c>
      <c r="AG19" s="75" t="s">
        <v>69</v>
      </c>
      <c r="AH19" s="60">
        <v>7</v>
      </c>
    </row>
    <row r="20" spans="1:34" ht="15.6" customHeight="1" x14ac:dyDescent="0.2">
      <c r="A20" s="66" t="s">
        <v>144</v>
      </c>
      <c r="B20" s="130">
        <v>10</v>
      </c>
      <c r="C20" s="134" t="s">
        <v>175</v>
      </c>
      <c r="D20" s="127">
        <v>8</v>
      </c>
      <c r="E20" s="58">
        <v>10</v>
      </c>
      <c r="F20" s="75" t="s">
        <v>72</v>
      </c>
      <c r="G20" s="60">
        <v>7</v>
      </c>
      <c r="H20" s="58">
        <v>13</v>
      </c>
      <c r="I20" s="75" t="s">
        <v>72</v>
      </c>
      <c r="J20" s="60">
        <v>9</v>
      </c>
      <c r="K20" s="58">
        <v>14</v>
      </c>
      <c r="L20" s="75" t="s">
        <v>72</v>
      </c>
      <c r="M20" s="60">
        <v>8</v>
      </c>
      <c r="N20" s="58">
        <v>23</v>
      </c>
      <c r="O20" s="75" t="s">
        <v>72</v>
      </c>
      <c r="P20" s="60">
        <v>11</v>
      </c>
      <c r="Q20" s="58">
        <v>15</v>
      </c>
      <c r="R20" s="75" t="s">
        <v>72</v>
      </c>
      <c r="S20" s="60">
        <v>8</v>
      </c>
      <c r="T20" s="58">
        <v>10</v>
      </c>
      <c r="U20" s="75" t="s">
        <v>72</v>
      </c>
      <c r="V20" s="60">
        <v>5</v>
      </c>
      <c r="W20" s="58">
        <v>13</v>
      </c>
      <c r="X20" s="75" t="s">
        <v>72</v>
      </c>
      <c r="Y20" s="60">
        <v>6</v>
      </c>
      <c r="Z20" s="58">
        <v>18</v>
      </c>
      <c r="AA20" s="75" t="s">
        <v>72</v>
      </c>
      <c r="AB20" s="60">
        <v>9</v>
      </c>
      <c r="AC20" s="62">
        <v>17</v>
      </c>
      <c r="AD20" s="75" t="s">
        <v>69</v>
      </c>
      <c r="AE20" s="60">
        <v>6</v>
      </c>
      <c r="AF20" s="58">
        <v>15</v>
      </c>
      <c r="AG20" s="75" t="s">
        <v>72</v>
      </c>
      <c r="AH20" s="60">
        <v>6</v>
      </c>
    </row>
    <row r="21" spans="1:34" ht="15.6" customHeight="1" x14ac:dyDescent="0.2">
      <c r="A21" s="67" t="s">
        <v>145</v>
      </c>
      <c r="B21" s="130">
        <v>7</v>
      </c>
      <c r="C21" s="134" t="s">
        <v>175</v>
      </c>
      <c r="D21" s="127">
        <v>7</v>
      </c>
      <c r="E21" s="160">
        <v>6</v>
      </c>
      <c r="F21" s="157" t="s">
        <v>72</v>
      </c>
      <c r="G21" s="90">
        <v>6</v>
      </c>
      <c r="H21" s="160">
        <v>14</v>
      </c>
      <c r="I21" s="157" t="s">
        <v>72</v>
      </c>
      <c r="J21" s="90">
        <v>12</v>
      </c>
      <c r="K21" s="160">
        <v>7</v>
      </c>
      <c r="L21" s="157" t="s">
        <v>72</v>
      </c>
      <c r="M21" s="90">
        <v>6</v>
      </c>
      <c r="N21" s="160">
        <v>7</v>
      </c>
      <c r="O21" s="157" t="s">
        <v>72</v>
      </c>
      <c r="P21" s="90">
        <v>7</v>
      </c>
      <c r="Q21" s="160">
        <v>4</v>
      </c>
      <c r="R21" s="157" t="s">
        <v>72</v>
      </c>
      <c r="S21" s="90">
        <v>4</v>
      </c>
      <c r="T21" s="160">
        <v>3</v>
      </c>
      <c r="U21" s="157" t="s">
        <v>72</v>
      </c>
      <c r="V21" s="90">
        <v>3</v>
      </c>
      <c r="W21" s="160">
        <v>6</v>
      </c>
      <c r="X21" s="157" t="s">
        <v>72</v>
      </c>
      <c r="Y21" s="90">
        <v>4</v>
      </c>
      <c r="Z21" s="160">
        <v>8</v>
      </c>
      <c r="AA21" s="157" t="s">
        <v>72</v>
      </c>
      <c r="AB21" s="90">
        <v>4</v>
      </c>
      <c r="AC21" s="160">
        <v>3</v>
      </c>
      <c r="AD21" s="157" t="s">
        <v>72</v>
      </c>
      <c r="AE21" s="90">
        <v>2</v>
      </c>
      <c r="AF21" s="160">
        <v>11</v>
      </c>
      <c r="AG21" s="157" t="s">
        <v>72</v>
      </c>
      <c r="AH21" s="90">
        <v>7</v>
      </c>
    </row>
    <row r="22" spans="1:34" ht="15.6" customHeight="1" x14ac:dyDescent="0.2">
      <c r="A22" s="76" t="s">
        <v>147</v>
      </c>
      <c r="B22" s="145">
        <v>1404</v>
      </c>
      <c r="C22" s="135" t="s">
        <v>173</v>
      </c>
      <c r="D22" s="132">
        <v>51</v>
      </c>
      <c r="E22" s="48">
        <v>1342</v>
      </c>
      <c r="F22" s="157" t="s">
        <v>63</v>
      </c>
      <c r="G22" s="48">
        <v>54</v>
      </c>
      <c r="H22" s="49">
        <v>1385</v>
      </c>
      <c r="I22" s="157" t="s">
        <v>63</v>
      </c>
      <c r="J22" s="90">
        <v>70</v>
      </c>
      <c r="K22" s="48">
        <v>1332</v>
      </c>
      <c r="L22" s="157" t="s">
        <v>63</v>
      </c>
      <c r="M22" s="90">
        <v>47</v>
      </c>
      <c r="N22" s="48">
        <v>1346</v>
      </c>
      <c r="O22" s="157" t="s">
        <v>63</v>
      </c>
      <c r="P22" s="90">
        <v>50</v>
      </c>
      <c r="Q22" s="48">
        <v>1356</v>
      </c>
      <c r="R22" s="157" t="s">
        <v>63</v>
      </c>
      <c r="S22" s="48">
        <v>48</v>
      </c>
      <c r="T22" s="49">
        <v>1373</v>
      </c>
      <c r="U22" s="157" t="s">
        <v>63</v>
      </c>
      <c r="V22" s="90">
        <v>24</v>
      </c>
      <c r="W22" s="48">
        <v>1341</v>
      </c>
      <c r="X22" s="157" t="s">
        <v>63</v>
      </c>
      <c r="Y22" s="90">
        <v>24</v>
      </c>
      <c r="Z22" s="48">
        <v>1329</v>
      </c>
      <c r="AA22" s="157" t="s">
        <v>63</v>
      </c>
      <c r="AB22" s="90">
        <v>22</v>
      </c>
      <c r="AC22" s="48">
        <v>1338</v>
      </c>
      <c r="AD22" s="157" t="s">
        <v>63</v>
      </c>
      <c r="AE22" s="90">
        <v>23</v>
      </c>
      <c r="AF22" s="48">
        <v>1326</v>
      </c>
      <c r="AG22" s="157" t="s">
        <v>63</v>
      </c>
      <c r="AH22" s="90">
        <v>23</v>
      </c>
    </row>
    <row r="23" spans="1:34" ht="15.6" customHeight="1" x14ac:dyDescent="0.2">
      <c r="A23" s="84" t="s">
        <v>148</v>
      </c>
      <c r="B23" s="150">
        <v>2.25</v>
      </c>
      <c r="C23" s="136" t="s">
        <v>173</v>
      </c>
      <c r="D23" s="151">
        <v>0.08</v>
      </c>
      <c r="E23" s="110">
        <v>2.3199999999999998</v>
      </c>
      <c r="F23" s="47" t="s">
        <v>63</v>
      </c>
      <c r="G23" s="110">
        <v>0.09</v>
      </c>
      <c r="H23" s="111">
        <v>2.27</v>
      </c>
      <c r="I23" s="47" t="s">
        <v>63</v>
      </c>
      <c r="J23" s="112">
        <v>0.12</v>
      </c>
      <c r="K23" s="110">
        <v>2.35</v>
      </c>
      <c r="L23" s="47" t="s">
        <v>63</v>
      </c>
      <c r="M23" s="112">
        <v>0.08</v>
      </c>
      <c r="N23" s="110">
        <v>2.3199999999999998</v>
      </c>
      <c r="O23" s="47" t="s">
        <v>63</v>
      </c>
      <c r="P23" s="112">
        <v>0.09</v>
      </c>
      <c r="Q23" s="110">
        <v>2.2999999999999998</v>
      </c>
      <c r="R23" s="47" t="s">
        <v>63</v>
      </c>
      <c r="S23" s="110">
        <v>0.08</v>
      </c>
      <c r="T23" s="111">
        <v>2.27</v>
      </c>
      <c r="U23" s="47" t="s">
        <v>63</v>
      </c>
      <c r="V23" s="112">
        <v>0.04</v>
      </c>
      <c r="W23" s="110">
        <v>2.31</v>
      </c>
      <c r="X23" s="47" t="s">
        <v>63</v>
      </c>
      <c r="Y23" s="112">
        <v>0.04</v>
      </c>
      <c r="Z23" s="110">
        <v>2.3199999999999998</v>
      </c>
      <c r="AA23" s="47" t="s">
        <v>63</v>
      </c>
      <c r="AB23" s="112">
        <v>0.04</v>
      </c>
      <c r="AC23" s="110">
        <v>2.2999999999999998</v>
      </c>
      <c r="AD23" s="47" t="s">
        <v>63</v>
      </c>
      <c r="AE23" s="112">
        <v>0.04</v>
      </c>
      <c r="AF23" s="110">
        <v>2.31</v>
      </c>
      <c r="AG23" s="47" t="s">
        <v>63</v>
      </c>
      <c r="AH23" s="112">
        <v>0.04</v>
      </c>
    </row>
    <row r="24" spans="1:34" ht="15.6" customHeight="1" x14ac:dyDescent="0.2"/>
    <row r="25" spans="1:34" ht="15.6" customHeight="1" x14ac:dyDescent="0.2"/>
  </sheetData>
  <hyperlinks>
    <hyperlink ref="A10" r:id="rId1" xr:uid="{00000000-0004-0000-0E00-000000000000}"/>
    <hyperlink ref="A11" r:id="rId2" xr:uid="{00000000-0004-0000-0E00-000001000000}"/>
    <hyperlink ref="A12" r:id="rId3" xr:uid="{00000000-0004-0000-0E00-000002000000}"/>
  </hyperlinks>
  <pageMargins left="0.7" right="0.7" top="0.75" bottom="0.75" header="0.3" footer="0.3"/>
  <pageSetup paperSize="9" orientation="portrait"/>
  <tableParts count="1">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A1:HR23"/>
  <sheetViews>
    <sheetView showGridLines="0" showZeros="0" zoomScaleNormal="100" workbookViewId="0"/>
  </sheetViews>
  <sheetFormatPr defaultColWidth="10.88671875" defaultRowHeight="15" x14ac:dyDescent="0.2"/>
  <cols>
    <col min="1" max="1" width="55.6640625" customWidth="1"/>
    <col min="2" max="2" width="13.109375" bestFit="1" customWidth="1"/>
    <col min="3" max="3" width="8.21875" bestFit="1" customWidth="1"/>
    <col min="4" max="4" width="9.44140625" bestFit="1" customWidth="1"/>
    <col min="5" max="5" width="13.109375" bestFit="1" customWidth="1"/>
    <col min="6" max="6" width="8.21875" bestFit="1" customWidth="1"/>
    <col min="7" max="7" width="9.44140625" bestFit="1" customWidth="1"/>
    <col min="8" max="8" width="13.109375" bestFit="1" customWidth="1"/>
    <col min="9" max="9" width="8.21875" bestFit="1" customWidth="1"/>
    <col min="10" max="10" width="9.44140625" bestFit="1" customWidth="1"/>
    <col min="11" max="11" width="13.109375" bestFit="1" customWidth="1"/>
    <col min="12" max="12" width="8.21875" bestFit="1" customWidth="1"/>
    <col min="13" max="13" width="9.44140625" bestFit="1" customWidth="1"/>
    <col min="14" max="14" width="13.109375" bestFit="1" customWidth="1"/>
    <col min="15" max="15" width="8.21875" bestFit="1" customWidth="1"/>
    <col min="16" max="16" width="9.44140625" bestFit="1" customWidth="1"/>
    <col min="17" max="17" width="13.109375" bestFit="1" customWidth="1"/>
    <col min="18" max="18" width="8.21875" bestFit="1" customWidth="1"/>
    <col min="19" max="19" width="9.44140625" bestFit="1" customWidth="1"/>
    <col min="20" max="20" width="13.109375" bestFit="1" customWidth="1"/>
    <col min="21" max="21" width="8.21875" bestFit="1" customWidth="1"/>
    <col min="22" max="22" width="9.44140625" bestFit="1" customWidth="1"/>
    <col min="23" max="23" width="13.109375" bestFit="1" customWidth="1"/>
    <col min="24" max="24" width="8.21875" bestFit="1" customWidth="1"/>
    <col min="25" max="25" width="9.44140625" bestFit="1" customWidth="1"/>
    <col min="26" max="26" width="13.109375" bestFit="1" customWidth="1"/>
    <col min="27" max="27" width="8.21875" bestFit="1" customWidth="1"/>
    <col min="28" max="28" width="9.44140625" bestFit="1" customWidth="1"/>
    <col min="29" max="29" width="13.109375" bestFit="1" customWidth="1"/>
    <col min="30" max="30" width="8.21875" bestFit="1" customWidth="1"/>
    <col min="31" max="31" width="9.44140625" bestFit="1" customWidth="1"/>
    <col min="32" max="32" width="13.109375" bestFit="1" customWidth="1"/>
    <col min="33" max="33" width="8.21875" bestFit="1" customWidth="1"/>
    <col min="34" max="34" width="9.44140625" bestFit="1" customWidth="1"/>
  </cols>
  <sheetData>
    <row r="1" spans="1:226" ht="19.899999999999999" customHeight="1" x14ac:dyDescent="0.3">
      <c r="A1" s="193" t="s">
        <v>0</v>
      </c>
    </row>
    <row r="2" spans="1:226" ht="31.15" customHeight="1" x14ac:dyDescent="0.2">
      <c r="A2" s="195" t="s">
        <v>169</v>
      </c>
    </row>
    <row r="3" spans="1:226" ht="15.4" customHeight="1" x14ac:dyDescent="0.2">
      <c r="A3" s="101" t="s">
        <v>170</v>
      </c>
    </row>
    <row r="4" spans="1:226" ht="15.4" customHeight="1" x14ac:dyDescent="0.2">
      <c r="A4" s="101" t="s">
        <v>98</v>
      </c>
    </row>
    <row r="5" spans="1:226" ht="15.6" customHeight="1" x14ac:dyDescent="0.2">
      <c r="A5" s="101" t="s">
        <v>99</v>
      </c>
    </row>
    <row r="6" spans="1:226" ht="15.6" customHeight="1" x14ac:dyDescent="0.2">
      <c r="A6" s="101" t="s">
        <v>179</v>
      </c>
    </row>
    <row r="7" spans="1:226" ht="15.6" customHeight="1" x14ac:dyDescent="0.2">
      <c r="A7" s="101" t="s">
        <v>180</v>
      </c>
    </row>
    <row r="8" spans="1:226" ht="15.4" customHeight="1" x14ac:dyDescent="0.25">
      <c r="A8" s="101" t="s">
        <v>181</v>
      </c>
      <c r="B8" s="81"/>
      <c r="C8" s="81"/>
      <c r="D8" s="81"/>
      <c r="E8" s="81"/>
      <c r="F8" s="81"/>
      <c r="G8" s="81"/>
      <c r="H8" s="81"/>
      <c r="I8" s="81"/>
      <c r="J8" s="81"/>
      <c r="K8" s="81"/>
      <c r="L8" s="81"/>
      <c r="M8" s="81"/>
      <c r="N8" s="81"/>
      <c r="O8" s="81"/>
      <c r="P8" s="81"/>
      <c r="Q8" s="81"/>
      <c r="R8" s="81"/>
      <c r="S8" s="81"/>
      <c r="T8" s="81"/>
      <c r="U8" s="81"/>
      <c r="V8" s="81"/>
      <c r="W8" s="81"/>
      <c r="X8" s="81"/>
      <c r="Y8" s="81"/>
      <c r="Z8" s="82"/>
      <c r="AA8" s="82"/>
      <c r="AB8" s="82"/>
      <c r="AC8" s="82"/>
      <c r="AD8" s="82"/>
      <c r="AE8" s="82"/>
      <c r="AF8" s="82"/>
      <c r="AG8" s="82"/>
      <c r="AH8" s="82"/>
      <c r="AI8" s="82"/>
      <c r="AJ8" s="82"/>
      <c r="AK8" s="82"/>
      <c r="AL8" s="82"/>
      <c r="AM8" s="82"/>
      <c r="AN8" s="82"/>
      <c r="AO8" s="82"/>
      <c r="AP8" s="82"/>
      <c r="AQ8" s="82"/>
      <c r="AR8" s="82"/>
      <c r="AS8" s="82"/>
      <c r="AT8" s="82"/>
      <c r="AU8" s="82"/>
      <c r="AV8" s="82"/>
      <c r="AW8" s="82"/>
      <c r="AX8" s="82"/>
      <c r="AY8" s="82"/>
      <c r="AZ8" s="82"/>
      <c r="BA8" s="82"/>
      <c r="BB8" s="82"/>
      <c r="BC8" s="82"/>
      <c r="BD8" s="82"/>
      <c r="BE8" s="82"/>
      <c r="BF8" s="82"/>
      <c r="BG8" s="82"/>
      <c r="BH8" s="82"/>
      <c r="BI8" s="82"/>
      <c r="BJ8" s="82"/>
      <c r="BK8" s="82"/>
      <c r="BL8" s="82"/>
      <c r="BM8" s="82"/>
      <c r="BN8" s="82"/>
      <c r="BO8" s="82"/>
      <c r="BP8" s="82"/>
      <c r="BQ8" s="82"/>
      <c r="BR8" s="82"/>
      <c r="BS8" s="82"/>
      <c r="BT8" s="82"/>
      <c r="BU8" s="82"/>
      <c r="BV8" s="82"/>
      <c r="BW8" s="82"/>
      <c r="BX8" s="82"/>
      <c r="BY8" s="82"/>
      <c r="BZ8" s="82"/>
      <c r="CA8" s="82"/>
      <c r="CB8" s="82"/>
      <c r="CC8" s="82"/>
      <c r="CD8" s="82"/>
      <c r="CE8" s="82"/>
      <c r="CF8" s="82"/>
      <c r="CG8" s="82"/>
      <c r="CH8" s="82"/>
      <c r="CI8" s="82"/>
      <c r="CJ8" s="82"/>
      <c r="CK8" s="82"/>
      <c r="CL8" s="82"/>
      <c r="CM8" s="82"/>
      <c r="CN8" s="82"/>
      <c r="CO8" s="82"/>
      <c r="CP8" s="82"/>
      <c r="CQ8" s="82"/>
      <c r="CR8" s="82"/>
      <c r="CS8" s="82"/>
      <c r="CT8" s="82"/>
      <c r="CU8" s="82"/>
      <c r="CV8" s="82"/>
      <c r="CW8" s="82"/>
      <c r="CX8" s="82"/>
      <c r="CY8" s="82"/>
      <c r="CZ8" s="82"/>
      <c r="DA8" s="82"/>
      <c r="DB8" s="82"/>
      <c r="DC8" s="82"/>
      <c r="DD8" s="82"/>
      <c r="DE8" s="82"/>
      <c r="DF8" s="82"/>
      <c r="DG8" s="82"/>
      <c r="DH8" s="82"/>
      <c r="DI8" s="82"/>
      <c r="DJ8" s="82"/>
      <c r="DK8" s="82"/>
      <c r="DL8" s="82"/>
      <c r="DM8" s="82"/>
      <c r="DN8" s="82"/>
      <c r="DO8" s="82"/>
      <c r="DP8" s="82"/>
      <c r="DQ8" s="82"/>
      <c r="DR8" s="82"/>
      <c r="DS8" s="82"/>
      <c r="DT8" s="82"/>
      <c r="DU8" s="82"/>
      <c r="DV8" s="82"/>
      <c r="DW8" s="82"/>
      <c r="DX8" s="82"/>
      <c r="DY8" s="82"/>
      <c r="DZ8" s="82"/>
      <c r="EA8" s="82"/>
      <c r="EB8" s="82"/>
      <c r="EC8" s="82"/>
      <c r="ED8" s="82"/>
      <c r="EE8" s="82"/>
      <c r="EF8" s="82"/>
      <c r="EG8" s="82"/>
      <c r="EH8" s="82"/>
      <c r="EI8" s="82"/>
      <c r="EJ8" s="82"/>
      <c r="EK8" s="82"/>
      <c r="EL8" s="82"/>
      <c r="EM8" s="82"/>
      <c r="EN8" s="82"/>
      <c r="EO8" s="82"/>
      <c r="EP8" s="82"/>
      <c r="EQ8" s="82"/>
      <c r="ER8" s="82"/>
      <c r="ES8" s="82"/>
      <c r="ET8" s="82"/>
      <c r="EU8" s="82"/>
      <c r="EV8" s="82"/>
      <c r="EW8" s="82"/>
      <c r="EX8" s="82"/>
      <c r="EY8" s="82"/>
      <c r="EZ8" s="82"/>
      <c r="FA8" s="82"/>
      <c r="FB8" s="82"/>
      <c r="FC8" s="82"/>
      <c r="FD8" s="82"/>
      <c r="FE8" s="82"/>
      <c r="FF8" s="82"/>
      <c r="FG8" s="82"/>
      <c r="FH8" s="82"/>
      <c r="FI8" s="82"/>
      <c r="FJ8" s="82"/>
      <c r="FK8" s="82"/>
      <c r="FL8" s="82"/>
      <c r="FM8" s="82"/>
      <c r="FN8" s="82"/>
      <c r="FO8" s="82"/>
      <c r="FP8" s="82"/>
      <c r="FQ8" s="82"/>
      <c r="FR8" s="82"/>
      <c r="FS8" s="82"/>
      <c r="FT8" s="82"/>
      <c r="FU8" s="82"/>
      <c r="FV8" s="82"/>
      <c r="FW8" s="82"/>
      <c r="FX8" s="82"/>
      <c r="FY8" s="82"/>
      <c r="FZ8" s="82"/>
      <c r="GA8" s="82"/>
      <c r="GB8" s="82"/>
      <c r="GC8" s="82"/>
      <c r="GD8" s="82"/>
      <c r="GE8" s="82"/>
      <c r="GF8" s="82"/>
      <c r="GG8" s="82"/>
      <c r="GH8" s="82"/>
      <c r="GI8" s="82"/>
      <c r="GJ8" s="82"/>
      <c r="GK8" s="82"/>
      <c r="GL8" s="82"/>
      <c r="GM8" s="82"/>
      <c r="GN8" s="82"/>
      <c r="GO8" s="82"/>
      <c r="GP8" s="82"/>
      <c r="GQ8" s="82"/>
      <c r="GR8" s="82"/>
      <c r="GS8" s="82"/>
      <c r="GT8" s="82"/>
      <c r="GU8" s="82"/>
      <c r="GV8" s="82"/>
      <c r="GW8" s="82"/>
      <c r="GX8" s="82"/>
      <c r="GY8" s="82"/>
      <c r="GZ8" s="82"/>
      <c r="HA8" s="82"/>
      <c r="HB8" s="82"/>
      <c r="HC8" s="82"/>
      <c r="HD8" s="82"/>
      <c r="HE8" s="82"/>
      <c r="HF8" s="82"/>
      <c r="HG8" s="82"/>
      <c r="HH8" s="82"/>
      <c r="HI8" s="82"/>
      <c r="HJ8" s="82"/>
      <c r="HK8" s="82"/>
      <c r="HL8" s="82"/>
      <c r="HM8" s="82"/>
      <c r="HN8" s="82"/>
      <c r="HO8" s="82"/>
      <c r="HP8" s="82"/>
      <c r="HQ8" s="82"/>
      <c r="HR8" s="82"/>
    </row>
    <row r="9" spans="1:226" ht="31.15" customHeight="1" x14ac:dyDescent="0.2">
      <c r="A9" s="65" t="s">
        <v>100</v>
      </c>
    </row>
    <row r="10" spans="1:226" ht="15" customHeight="1" x14ac:dyDescent="0.2">
      <c r="A10" s="10" t="s">
        <v>101</v>
      </c>
    </row>
    <row r="11" spans="1:226" x14ac:dyDescent="0.2">
      <c r="A11" s="10" t="s">
        <v>102</v>
      </c>
    </row>
    <row r="12" spans="1:226" ht="31.15" customHeight="1" x14ac:dyDescent="0.2">
      <c r="A12" s="23" t="s">
        <v>103</v>
      </c>
    </row>
    <row r="13" spans="1:226" ht="31.15" customHeight="1" x14ac:dyDescent="0.2">
      <c r="A13" s="71" t="s">
        <v>104</v>
      </c>
      <c r="B13" s="77" t="s">
        <v>105</v>
      </c>
      <c r="C13" s="70" t="s">
        <v>106</v>
      </c>
      <c r="D13" s="74" t="s">
        <v>107</v>
      </c>
      <c r="E13" s="70" t="s">
        <v>108</v>
      </c>
      <c r="F13" s="70" t="s">
        <v>109</v>
      </c>
      <c r="G13" s="70" t="s">
        <v>110</v>
      </c>
      <c r="H13" s="77" t="s">
        <v>111</v>
      </c>
      <c r="I13" s="70" t="s">
        <v>112</v>
      </c>
      <c r="J13" s="74" t="s">
        <v>113</v>
      </c>
      <c r="K13" s="70" t="s">
        <v>114</v>
      </c>
      <c r="L13" s="70" t="s">
        <v>115</v>
      </c>
      <c r="M13" s="74" t="s">
        <v>116</v>
      </c>
      <c r="N13" s="77" t="s">
        <v>117</v>
      </c>
      <c r="O13" s="70" t="s">
        <v>118</v>
      </c>
      <c r="P13" s="74" t="s">
        <v>119</v>
      </c>
      <c r="Q13" s="77" t="s">
        <v>120</v>
      </c>
      <c r="R13" s="70" t="s">
        <v>121</v>
      </c>
      <c r="S13" s="70" t="s">
        <v>122</v>
      </c>
      <c r="T13" s="77" t="s">
        <v>123</v>
      </c>
      <c r="U13" s="70" t="s">
        <v>124</v>
      </c>
      <c r="V13" s="74" t="s">
        <v>125</v>
      </c>
      <c r="W13" s="70" t="s">
        <v>126</v>
      </c>
      <c r="X13" s="70" t="s">
        <v>127</v>
      </c>
      <c r="Y13" s="74" t="s">
        <v>128</v>
      </c>
      <c r="Z13" s="70" t="s">
        <v>129</v>
      </c>
      <c r="AA13" s="70" t="s">
        <v>130</v>
      </c>
      <c r="AB13" s="74" t="s">
        <v>131</v>
      </c>
      <c r="AC13" s="70" t="s">
        <v>132</v>
      </c>
      <c r="AD13" s="70" t="s">
        <v>133</v>
      </c>
      <c r="AE13" s="74" t="s">
        <v>134</v>
      </c>
      <c r="AF13" s="70" t="s">
        <v>135</v>
      </c>
      <c r="AG13" s="70" t="s">
        <v>136</v>
      </c>
      <c r="AH13" s="74" t="s">
        <v>137</v>
      </c>
    </row>
    <row r="14" spans="1:226" ht="15.6" customHeight="1" x14ac:dyDescent="0.2">
      <c r="A14" s="101" t="s">
        <v>138</v>
      </c>
      <c r="B14" s="149">
        <v>903</v>
      </c>
      <c r="C14" s="133" t="s">
        <v>173</v>
      </c>
      <c r="D14" s="125">
        <v>86</v>
      </c>
      <c r="E14" s="190">
        <v>941</v>
      </c>
      <c r="F14" s="191" t="s">
        <v>63</v>
      </c>
      <c r="G14" s="192">
        <v>92</v>
      </c>
      <c r="H14" s="79">
        <v>891</v>
      </c>
      <c r="I14" s="191" t="s">
        <v>66</v>
      </c>
      <c r="J14" s="192">
        <v>100</v>
      </c>
      <c r="K14" s="79">
        <v>904</v>
      </c>
      <c r="L14" s="191" t="s">
        <v>66</v>
      </c>
      <c r="M14" s="192">
        <v>95</v>
      </c>
      <c r="N14" s="79">
        <v>904</v>
      </c>
      <c r="O14" s="191" t="s">
        <v>66</v>
      </c>
      <c r="P14" s="192">
        <v>91</v>
      </c>
      <c r="Q14" s="79">
        <v>875</v>
      </c>
      <c r="R14" s="191" t="s">
        <v>66</v>
      </c>
      <c r="S14" s="192">
        <v>88</v>
      </c>
      <c r="T14" s="190">
        <v>873</v>
      </c>
      <c r="U14" s="191" t="s">
        <v>63</v>
      </c>
      <c r="V14" s="192">
        <v>52</v>
      </c>
      <c r="W14" s="190">
        <v>834</v>
      </c>
      <c r="X14" s="191" t="s">
        <v>63</v>
      </c>
      <c r="Y14" s="192">
        <v>50</v>
      </c>
      <c r="Z14" s="190">
        <v>780</v>
      </c>
      <c r="AA14" s="191" t="s">
        <v>63</v>
      </c>
      <c r="AB14" s="192">
        <v>51</v>
      </c>
      <c r="AC14" s="190">
        <v>741</v>
      </c>
      <c r="AD14" s="191" t="s">
        <v>63</v>
      </c>
      <c r="AE14" s="192">
        <v>54</v>
      </c>
      <c r="AF14" s="190">
        <v>775</v>
      </c>
      <c r="AG14" s="191" t="s">
        <v>63</v>
      </c>
      <c r="AH14" s="192">
        <v>48</v>
      </c>
    </row>
    <row r="15" spans="1:226" ht="15.6" customHeight="1" x14ac:dyDescent="0.2">
      <c r="A15" s="101" t="s">
        <v>139</v>
      </c>
      <c r="B15" s="144">
        <v>864</v>
      </c>
      <c r="C15" s="166" t="s">
        <v>173</v>
      </c>
      <c r="D15" s="128">
        <v>55</v>
      </c>
      <c r="E15" s="87">
        <v>893</v>
      </c>
      <c r="F15" s="1" t="s">
        <v>63</v>
      </c>
      <c r="G15" s="88">
        <v>67</v>
      </c>
      <c r="H15" s="87">
        <v>891</v>
      </c>
      <c r="I15" s="1" t="s">
        <v>63</v>
      </c>
      <c r="J15" s="88">
        <v>84</v>
      </c>
      <c r="K15" s="87">
        <v>895</v>
      </c>
      <c r="L15" s="1" t="s">
        <v>63</v>
      </c>
      <c r="M15" s="88">
        <v>62</v>
      </c>
      <c r="N15" s="87">
        <v>864</v>
      </c>
      <c r="O15" s="1" t="s">
        <v>63</v>
      </c>
      <c r="P15" s="88">
        <v>56</v>
      </c>
      <c r="Q15" s="87">
        <v>862</v>
      </c>
      <c r="R15" s="1" t="s">
        <v>63</v>
      </c>
      <c r="S15" s="88">
        <v>56</v>
      </c>
      <c r="T15" s="87">
        <v>883</v>
      </c>
      <c r="U15" s="1" t="s">
        <v>63</v>
      </c>
      <c r="V15" s="88">
        <v>39</v>
      </c>
      <c r="W15" s="87">
        <v>830</v>
      </c>
      <c r="X15" s="1" t="s">
        <v>63</v>
      </c>
      <c r="Y15" s="88">
        <v>37</v>
      </c>
      <c r="Z15" s="87">
        <v>889</v>
      </c>
      <c r="AA15" s="1" t="s">
        <v>63</v>
      </c>
      <c r="AB15" s="88">
        <v>37</v>
      </c>
      <c r="AC15" s="87">
        <v>858</v>
      </c>
      <c r="AD15" s="1" t="s">
        <v>63</v>
      </c>
      <c r="AE15" s="88">
        <v>39</v>
      </c>
      <c r="AF15" s="87">
        <v>840</v>
      </c>
      <c r="AG15" s="1" t="s">
        <v>63</v>
      </c>
      <c r="AH15" s="88">
        <v>37</v>
      </c>
    </row>
    <row r="16" spans="1:226" ht="15.6" customHeight="1" x14ac:dyDescent="0.2">
      <c r="A16" s="101" t="s">
        <v>140</v>
      </c>
      <c r="B16" s="144">
        <v>377</v>
      </c>
      <c r="C16" s="166" t="s">
        <v>173</v>
      </c>
      <c r="D16" s="128">
        <v>32</v>
      </c>
      <c r="E16" s="57">
        <v>363</v>
      </c>
      <c r="F16" s="1" t="s">
        <v>66</v>
      </c>
      <c r="G16" s="88">
        <v>44</v>
      </c>
      <c r="H16" s="57">
        <v>357</v>
      </c>
      <c r="I16" s="1" t="s">
        <v>66</v>
      </c>
      <c r="J16" s="88">
        <v>41</v>
      </c>
      <c r="K16" s="87">
        <v>368</v>
      </c>
      <c r="L16" s="1" t="s">
        <v>63</v>
      </c>
      <c r="M16" s="88">
        <v>33</v>
      </c>
      <c r="N16" s="87">
        <v>353</v>
      </c>
      <c r="O16" s="1" t="s">
        <v>63</v>
      </c>
      <c r="P16" s="88">
        <v>30</v>
      </c>
      <c r="Q16" s="57">
        <v>315</v>
      </c>
      <c r="R16" s="1" t="s">
        <v>66</v>
      </c>
      <c r="S16" s="88">
        <v>33</v>
      </c>
      <c r="T16" s="87">
        <v>353</v>
      </c>
      <c r="U16" s="1" t="s">
        <v>63</v>
      </c>
      <c r="V16" s="88">
        <v>28</v>
      </c>
      <c r="W16" s="87">
        <v>354</v>
      </c>
      <c r="X16" s="1" t="s">
        <v>63</v>
      </c>
      <c r="Y16" s="88">
        <v>27</v>
      </c>
      <c r="Z16" s="87">
        <v>386</v>
      </c>
      <c r="AA16" s="1" t="s">
        <v>63</v>
      </c>
      <c r="AB16" s="88">
        <v>30</v>
      </c>
      <c r="AC16" s="87">
        <v>392</v>
      </c>
      <c r="AD16" s="1" t="s">
        <v>63</v>
      </c>
      <c r="AE16" s="88">
        <v>29</v>
      </c>
      <c r="AF16" s="87">
        <v>346</v>
      </c>
      <c r="AG16" s="1" t="s">
        <v>63</v>
      </c>
      <c r="AH16" s="88">
        <v>26</v>
      </c>
    </row>
    <row r="17" spans="1:34" ht="15.6" customHeight="1" x14ac:dyDescent="0.2">
      <c r="A17" s="101" t="s">
        <v>141</v>
      </c>
      <c r="B17" s="186">
        <v>295</v>
      </c>
      <c r="C17" s="166" t="s">
        <v>172</v>
      </c>
      <c r="D17" s="128">
        <v>30</v>
      </c>
      <c r="E17" s="57">
        <v>275</v>
      </c>
      <c r="F17" s="1" t="s">
        <v>66</v>
      </c>
      <c r="G17" s="88">
        <v>34</v>
      </c>
      <c r="H17" s="57">
        <v>280</v>
      </c>
      <c r="I17" s="1" t="s">
        <v>66</v>
      </c>
      <c r="J17" s="88">
        <v>43</v>
      </c>
      <c r="K17" s="57">
        <v>285</v>
      </c>
      <c r="L17" s="1" t="s">
        <v>66</v>
      </c>
      <c r="M17" s="88">
        <v>32</v>
      </c>
      <c r="N17" s="57">
        <v>284</v>
      </c>
      <c r="O17" s="1" t="s">
        <v>66</v>
      </c>
      <c r="P17" s="88">
        <v>29</v>
      </c>
      <c r="Q17" s="57">
        <v>297</v>
      </c>
      <c r="R17" s="1" t="s">
        <v>66</v>
      </c>
      <c r="S17" s="88">
        <v>30</v>
      </c>
      <c r="T17" s="87">
        <v>277</v>
      </c>
      <c r="U17" s="1" t="s">
        <v>63</v>
      </c>
      <c r="V17" s="88">
        <v>23</v>
      </c>
      <c r="W17" s="87">
        <v>302</v>
      </c>
      <c r="X17" s="1" t="s">
        <v>63</v>
      </c>
      <c r="Y17" s="88">
        <v>23</v>
      </c>
      <c r="Z17" s="87">
        <v>267</v>
      </c>
      <c r="AA17" s="1" t="s">
        <v>63</v>
      </c>
      <c r="AB17" s="88">
        <v>23</v>
      </c>
      <c r="AC17" s="87">
        <v>278</v>
      </c>
      <c r="AD17" s="1" t="s">
        <v>63</v>
      </c>
      <c r="AE17" s="88">
        <v>22</v>
      </c>
      <c r="AF17" s="87">
        <v>315</v>
      </c>
      <c r="AG17" s="1" t="s">
        <v>63</v>
      </c>
      <c r="AH17" s="88">
        <v>22</v>
      </c>
    </row>
    <row r="18" spans="1:34" ht="15.6" customHeight="1" x14ac:dyDescent="0.2">
      <c r="A18" s="101" t="s">
        <v>142</v>
      </c>
      <c r="B18" s="187">
        <v>53</v>
      </c>
      <c r="C18" s="166" t="s">
        <v>174</v>
      </c>
      <c r="D18" s="128">
        <v>14</v>
      </c>
      <c r="E18" s="62">
        <v>77</v>
      </c>
      <c r="F18" s="1" t="s">
        <v>69</v>
      </c>
      <c r="G18" s="88">
        <v>21</v>
      </c>
      <c r="H18" s="62">
        <v>84</v>
      </c>
      <c r="I18" s="1" t="s">
        <v>69</v>
      </c>
      <c r="J18" s="88">
        <v>24</v>
      </c>
      <c r="K18" s="62">
        <v>71</v>
      </c>
      <c r="L18" s="1" t="s">
        <v>69</v>
      </c>
      <c r="M18" s="88">
        <v>16</v>
      </c>
      <c r="N18" s="62">
        <v>79</v>
      </c>
      <c r="O18" s="1" t="s">
        <v>69</v>
      </c>
      <c r="P18" s="88">
        <v>20</v>
      </c>
      <c r="Q18" s="62">
        <v>82</v>
      </c>
      <c r="R18" s="1" t="s">
        <v>69</v>
      </c>
      <c r="S18" s="88">
        <v>20</v>
      </c>
      <c r="T18" s="57">
        <v>76</v>
      </c>
      <c r="U18" s="1" t="s">
        <v>66</v>
      </c>
      <c r="V18" s="88">
        <v>13</v>
      </c>
      <c r="W18" s="57">
        <v>88</v>
      </c>
      <c r="X18" s="1" t="s">
        <v>66</v>
      </c>
      <c r="Y18" s="88">
        <v>14</v>
      </c>
      <c r="Z18" s="57">
        <v>74</v>
      </c>
      <c r="AA18" s="1" t="s">
        <v>66</v>
      </c>
      <c r="AB18" s="88">
        <v>13</v>
      </c>
      <c r="AC18" s="57">
        <v>85</v>
      </c>
      <c r="AD18" s="1" t="s">
        <v>66</v>
      </c>
      <c r="AE18" s="88">
        <v>13</v>
      </c>
      <c r="AF18" s="57">
        <v>75</v>
      </c>
      <c r="AG18" s="1" t="s">
        <v>66</v>
      </c>
      <c r="AH18" s="88">
        <v>12</v>
      </c>
    </row>
    <row r="19" spans="1:34" ht="15.6" customHeight="1" x14ac:dyDescent="0.2">
      <c r="A19" s="101" t="s">
        <v>143</v>
      </c>
      <c r="B19" s="187">
        <v>27</v>
      </c>
      <c r="C19" s="166" t="s">
        <v>174</v>
      </c>
      <c r="D19" s="128">
        <v>10</v>
      </c>
      <c r="E19" s="58">
        <v>19</v>
      </c>
      <c r="F19" s="1" t="s">
        <v>72</v>
      </c>
      <c r="G19" s="88">
        <v>11</v>
      </c>
      <c r="H19" s="58">
        <v>25</v>
      </c>
      <c r="I19" s="1" t="s">
        <v>72</v>
      </c>
      <c r="J19" s="88">
        <v>18</v>
      </c>
      <c r="K19" s="58">
        <v>20</v>
      </c>
      <c r="L19" s="1" t="s">
        <v>72</v>
      </c>
      <c r="M19" s="88">
        <v>11</v>
      </c>
      <c r="N19" s="58">
        <v>28</v>
      </c>
      <c r="O19" s="1" t="s">
        <v>72</v>
      </c>
      <c r="P19" s="88">
        <v>12</v>
      </c>
      <c r="Q19" s="62">
        <v>39</v>
      </c>
      <c r="R19" s="1" t="s">
        <v>69</v>
      </c>
      <c r="S19" s="88">
        <v>13</v>
      </c>
      <c r="T19" s="62">
        <v>31</v>
      </c>
      <c r="U19" s="1" t="s">
        <v>69</v>
      </c>
      <c r="V19" s="88">
        <v>9</v>
      </c>
      <c r="W19" s="62">
        <v>26</v>
      </c>
      <c r="X19" s="1" t="s">
        <v>69</v>
      </c>
      <c r="Y19" s="88">
        <v>8</v>
      </c>
      <c r="Z19" s="62">
        <v>29</v>
      </c>
      <c r="AA19" s="1" t="s">
        <v>69</v>
      </c>
      <c r="AB19" s="88">
        <v>7</v>
      </c>
      <c r="AC19" s="62">
        <v>23</v>
      </c>
      <c r="AD19" s="1" t="s">
        <v>69</v>
      </c>
      <c r="AE19" s="88">
        <v>7</v>
      </c>
      <c r="AF19" s="62">
        <v>26</v>
      </c>
      <c r="AG19" s="1" t="s">
        <v>69</v>
      </c>
      <c r="AH19" s="88">
        <v>7</v>
      </c>
    </row>
    <row r="20" spans="1:34" ht="15.6" customHeight="1" x14ac:dyDescent="0.2">
      <c r="A20" s="103" t="s">
        <v>144</v>
      </c>
      <c r="B20" s="188">
        <v>18</v>
      </c>
      <c r="C20" s="166" t="s">
        <v>175</v>
      </c>
      <c r="D20" s="128">
        <v>9</v>
      </c>
      <c r="E20" s="58">
        <v>16</v>
      </c>
      <c r="F20" s="1" t="s">
        <v>72</v>
      </c>
      <c r="G20" s="88">
        <v>10</v>
      </c>
      <c r="H20" s="58">
        <v>18</v>
      </c>
      <c r="I20" s="1" t="s">
        <v>72</v>
      </c>
      <c r="J20" s="88">
        <v>17</v>
      </c>
      <c r="K20" s="58">
        <v>13</v>
      </c>
      <c r="L20" s="1" t="s">
        <v>72</v>
      </c>
      <c r="M20" s="88">
        <v>8</v>
      </c>
      <c r="N20" s="58">
        <v>21</v>
      </c>
      <c r="O20" s="1" t="s">
        <v>72</v>
      </c>
      <c r="P20" s="88">
        <v>10</v>
      </c>
      <c r="Q20" s="62">
        <v>29</v>
      </c>
      <c r="R20" s="1" t="s">
        <v>69</v>
      </c>
      <c r="S20" s="88">
        <v>11</v>
      </c>
      <c r="T20" s="62">
        <v>22</v>
      </c>
      <c r="U20" s="1" t="s">
        <v>69</v>
      </c>
      <c r="V20" s="88">
        <v>8</v>
      </c>
      <c r="W20" s="62">
        <v>24</v>
      </c>
      <c r="X20" s="1" t="s">
        <v>69</v>
      </c>
      <c r="Y20" s="88">
        <v>8</v>
      </c>
      <c r="Z20" s="62">
        <v>21</v>
      </c>
      <c r="AA20" s="1" t="s">
        <v>69</v>
      </c>
      <c r="AB20" s="88">
        <v>7</v>
      </c>
      <c r="AC20" s="62">
        <v>18</v>
      </c>
      <c r="AD20" s="1" t="s">
        <v>69</v>
      </c>
      <c r="AE20" s="88">
        <v>7</v>
      </c>
      <c r="AF20" s="62">
        <v>20</v>
      </c>
      <c r="AG20" s="1" t="s">
        <v>69</v>
      </c>
      <c r="AH20" s="88">
        <v>7</v>
      </c>
    </row>
    <row r="21" spans="1:34" ht="15.6" customHeight="1" x14ac:dyDescent="0.2">
      <c r="A21" s="104" t="s">
        <v>145</v>
      </c>
      <c r="B21" s="189">
        <v>9</v>
      </c>
      <c r="C21" s="136" t="s">
        <v>175</v>
      </c>
      <c r="D21" s="171">
        <v>6</v>
      </c>
      <c r="E21" s="86" t="s">
        <v>146</v>
      </c>
      <c r="F21" s="153" t="s">
        <v>146</v>
      </c>
      <c r="G21" s="185" t="s">
        <v>146</v>
      </c>
      <c r="H21" s="160">
        <v>7</v>
      </c>
      <c r="I21" s="153" t="s">
        <v>72</v>
      </c>
      <c r="J21" s="185">
        <v>9</v>
      </c>
      <c r="K21" s="160">
        <v>8</v>
      </c>
      <c r="L21" s="153" t="s">
        <v>72</v>
      </c>
      <c r="M21" s="185">
        <v>6</v>
      </c>
      <c r="N21" s="160">
        <v>7</v>
      </c>
      <c r="O21" s="153" t="s">
        <v>72</v>
      </c>
      <c r="P21" s="185">
        <v>6</v>
      </c>
      <c r="Q21" s="160">
        <v>10</v>
      </c>
      <c r="R21" s="153" t="s">
        <v>72</v>
      </c>
      <c r="S21" s="185">
        <v>7</v>
      </c>
      <c r="T21" s="160">
        <v>9</v>
      </c>
      <c r="U21" s="153" t="s">
        <v>72</v>
      </c>
      <c r="V21" s="185">
        <v>5</v>
      </c>
      <c r="W21" s="160">
        <v>2</v>
      </c>
      <c r="X21" s="153" t="s">
        <v>72</v>
      </c>
      <c r="Y21" s="185">
        <v>3</v>
      </c>
      <c r="Z21" s="160">
        <v>8</v>
      </c>
      <c r="AA21" s="153" t="s">
        <v>72</v>
      </c>
      <c r="AB21" s="185">
        <v>5</v>
      </c>
      <c r="AC21" s="160">
        <v>5</v>
      </c>
      <c r="AD21" s="153" t="s">
        <v>72</v>
      </c>
      <c r="AE21" s="185">
        <v>5</v>
      </c>
      <c r="AF21" s="160">
        <v>6</v>
      </c>
      <c r="AG21" s="153" t="s">
        <v>72</v>
      </c>
      <c r="AH21" s="185">
        <v>4</v>
      </c>
    </row>
    <row r="22" spans="1:34" ht="15.6" customHeight="1" x14ac:dyDescent="0.2">
      <c r="A22" s="76" t="s">
        <v>147</v>
      </c>
      <c r="B22" s="184">
        <v>2520</v>
      </c>
      <c r="C22" s="163" t="s">
        <v>173</v>
      </c>
      <c r="D22" s="184">
        <v>71</v>
      </c>
      <c r="E22" s="86">
        <v>2568</v>
      </c>
      <c r="F22" s="153" t="s">
        <v>63</v>
      </c>
      <c r="G22" s="85">
        <v>78</v>
      </c>
      <c r="H22" s="86">
        <v>2527</v>
      </c>
      <c r="I22" s="153" t="s">
        <v>63</v>
      </c>
      <c r="J22" s="185">
        <v>95</v>
      </c>
      <c r="K22" s="85">
        <v>2542</v>
      </c>
      <c r="L22" s="153" t="s">
        <v>63</v>
      </c>
      <c r="M22" s="185">
        <v>74</v>
      </c>
      <c r="N22" s="85">
        <v>2512</v>
      </c>
      <c r="O22" s="153" t="s">
        <v>63</v>
      </c>
      <c r="P22" s="185">
        <v>76</v>
      </c>
      <c r="Q22" s="85">
        <v>2470</v>
      </c>
      <c r="R22" s="153" t="s">
        <v>63</v>
      </c>
      <c r="S22" s="85">
        <v>76</v>
      </c>
      <c r="T22" s="86">
        <v>2492</v>
      </c>
      <c r="U22" s="153" t="s">
        <v>63</v>
      </c>
      <c r="V22" s="185">
        <v>32</v>
      </c>
      <c r="W22" s="85">
        <v>2434</v>
      </c>
      <c r="X22" s="153" t="s">
        <v>63</v>
      </c>
      <c r="Y22" s="185">
        <v>31</v>
      </c>
      <c r="Z22" s="85">
        <v>2425</v>
      </c>
      <c r="AA22" s="153" t="s">
        <v>63</v>
      </c>
      <c r="AB22" s="185">
        <v>32</v>
      </c>
      <c r="AC22" s="85">
        <v>2377</v>
      </c>
      <c r="AD22" s="153" t="s">
        <v>63</v>
      </c>
      <c r="AE22" s="185">
        <v>35</v>
      </c>
      <c r="AF22" s="85">
        <v>2376</v>
      </c>
      <c r="AG22" s="153" t="s">
        <v>63</v>
      </c>
      <c r="AH22" s="185">
        <v>31</v>
      </c>
    </row>
    <row r="23" spans="1:34" ht="15.6" customHeight="1" x14ac:dyDescent="0.2">
      <c r="A23" s="102" t="s">
        <v>148</v>
      </c>
      <c r="B23" s="152">
        <v>2.14</v>
      </c>
      <c r="C23" s="136" t="s">
        <v>173</v>
      </c>
      <c r="D23" s="152">
        <v>0.06</v>
      </c>
      <c r="E23" s="106">
        <v>2.11</v>
      </c>
      <c r="F23" s="153" t="s">
        <v>63</v>
      </c>
      <c r="G23" s="105">
        <v>0.06</v>
      </c>
      <c r="H23" s="106">
        <v>2.15</v>
      </c>
      <c r="I23" s="153" t="s">
        <v>63</v>
      </c>
      <c r="J23" s="108">
        <v>0.08</v>
      </c>
      <c r="K23" s="107">
        <v>2.13</v>
      </c>
      <c r="L23" s="153" t="s">
        <v>63</v>
      </c>
      <c r="M23" s="108">
        <v>0.06</v>
      </c>
      <c r="N23" s="107">
        <v>2.15</v>
      </c>
      <c r="O23" s="153" t="s">
        <v>63</v>
      </c>
      <c r="P23" s="108">
        <v>7.0000000000000007E-2</v>
      </c>
      <c r="Q23" s="107">
        <v>2.1800000000000002</v>
      </c>
      <c r="R23" s="153" t="s">
        <v>63</v>
      </c>
      <c r="S23" s="107">
        <v>7.0000000000000007E-2</v>
      </c>
      <c r="T23" s="106">
        <v>2.16</v>
      </c>
      <c r="U23" s="153" t="s">
        <v>63</v>
      </c>
      <c r="V23" s="108">
        <v>0.03</v>
      </c>
      <c r="W23" s="107">
        <v>2.2000000000000002</v>
      </c>
      <c r="X23" s="153" t="s">
        <v>63</v>
      </c>
      <c r="Y23" s="108">
        <v>0.03</v>
      </c>
      <c r="Z23" s="107">
        <v>2.2000000000000002</v>
      </c>
      <c r="AA23" s="153" t="s">
        <v>63</v>
      </c>
      <c r="AB23" s="108">
        <v>0.03</v>
      </c>
      <c r="AC23" s="107">
        <v>2.2400000000000002</v>
      </c>
      <c r="AD23" s="153" t="s">
        <v>63</v>
      </c>
      <c r="AE23" s="108">
        <v>0.03</v>
      </c>
      <c r="AF23" s="109">
        <v>2.23</v>
      </c>
      <c r="AG23" s="153" t="s">
        <v>63</v>
      </c>
      <c r="AH23" s="108">
        <v>0.03</v>
      </c>
    </row>
  </sheetData>
  <hyperlinks>
    <hyperlink ref="A10" r:id="rId1" xr:uid="{00000000-0004-0000-0F00-000000000000}"/>
    <hyperlink ref="A11" r:id="rId2" xr:uid="{00000000-0004-0000-0F00-000001000000}"/>
    <hyperlink ref="A12" r:id="rId3" xr:uid="{00000000-0004-0000-0F00-000002000000}"/>
  </hyperlinks>
  <pageMargins left="0.7" right="0.7" top="0.75" bottom="0.75" header="0.3" footer="0.3"/>
  <pageSetup paperSize="9" orientation="portrait"/>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ectionName xmlns="1e572c8d-6813-4013-8a4a-be491ac59459">Datasets</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14120</ReferenceId>
    <Notes xmlns="1e572c8d-6813-4013-8a4a-be491ac59459" xsi:nil="true"/>
    <TrackerId xmlns="1e572c8d-6813-4013-8a4a-be491ac59459">TRCK-4152</TrackerId>
  </documentManagement>
</p:properties>
</file>

<file path=customXml/itemProps1.xml><?xml version="1.0" encoding="utf-8"?>
<ds:datastoreItem xmlns:ds="http://schemas.openxmlformats.org/officeDocument/2006/customXml" ds:itemID="{34F21776-DBF4-4733-90E8-17BD263DF73B}"/>
</file>

<file path=customXml/itemProps2.xml><?xml version="1.0" encoding="utf-8"?>
<ds:datastoreItem xmlns:ds="http://schemas.openxmlformats.org/officeDocument/2006/customXml" ds:itemID="{14A8F26C-2C72-4658-A4A1-CE5098AEC0B6}">
  <ds:schemaRefs>
    <ds:schemaRef ds:uri="http://schemas.microsoft.com/sharepoint/v3/contenttype/forms"/>
  </ds:schemaRefs>
</ds:datastoreItem>
</file>

<file path=customXml/itemProps3.xml><?xml version="1.0" encoding="utf-8"?>
<ds:datastoreItem xmlns:ds="http://schemas.openxmlformats.org/officeDocument/2006/customXml" ds:itemID="{9E89D3B8-2EC2-4BB8-9289-BAEE3A17AAF8}">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16</vt:i4>
      </vt:variant>
    </vt:vector>
  </HeadingPairs>
  <TitlesOfParts>
    <vt:vector size="16" baseType="lpstr">
      <vt:lpstr>Cover sheet</vt:lpstr>
      <vt:lpstr>Notes</vt:lpstr>
      <vt:lpstr>Statistical robustness</vt:lpstr>
      <vt:lpstr>Covid-19 and LFS</vt:lpstr>
      <vt:lpstr>North_East</vt:lpstr>
      <vt:lpstr>North_West</vt:lpstr>
      <vt:lpstr>Yorkshire_and_The_Humber</vt:lpstr>
      <vt:lpstr>East_Midlands</vt:lpstr>
      <vt:lpstr>West_Midlands</vt:lpstr>
      <vt:lpstr>East</vt:lpstr>
      <vt:lpstr>London</vt:lpstr>
      <vt:lpstr>South_East</vt:lpstr>
      <vt:lpstr>South_West</vt:lpstr>
      <vt:lpstr>England</vt:lpstr>
      <vt:lpstr>Wales</vt:lpstr>
      <vt:lpstr>Scotland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2026-03-20T15:55:30Z</dcterms:created>
  <dcterms:modified xsi:type="dcterms:W3CDTF">2026-03-30T12:47:35Z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